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ian_\AppData\Roaming\Desktop\"/>
    </mc:Choice>
  </mc:AlternateContent>
  <xr:revisionPtr revIDLastSave="0" documentId="13_ncr:1_{5E9A4B8C-8907-46A0-8C4A-D4D16383B601}" xr6:coauthVersionLast="47" xr6:coauthVersionMax="47" xr10:uidLastSave="{00000000-0000-0000-0000-000000000000}"/>
  <bookViews>
    <workbookView xWindow="-120" yWindow="-120" windowWidth="29040" windowHeight="16440" tabRatio="580" xr2:uid="{00000000-000D-0000-FFFF-FFFF00000000}"/>
  </bookViews>
  <sheets>
    <sheet name="DESCRITIVO" sheetId="1" r:id="rId1"/>
    <sheet name="RESUMÃO" sheetId="8" r:id="rId2"/>
    <sheet name="status_mêsAtual" sheetId="5" r:id="rId3"/>
    <sheet name="HISTÓRICO GASTOS MÊS" sheetId="12" r:id="rId4"/>
    <sheet name="% nas Despesas" sheetId="9" r:id="rId5"/>
  </sheets>
  <definedNames>
    <definedName name="_xlnm._FilterDatabase" localSheetId="0" hidden="1">DESCRITIVO!$B$1:$W$303</definedName>
    <definedName name="emprest_gio">#REF!</definedName>
    <definedName name="JANEIRO_17">#REF!</definedName>
    <definedName name="JANEIRO_2017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20" roundtripDataSignature="AMtx7mhKHlVehxhE2GzpD4NrK5nMO02oKQ=="/>
    </ext>
  </extLst>
</workbook>
</file>

<file path=xl/calcChain.xml><?xml version="1.0" encoding="utf-8"?>
<calcChain xmlns="http://schemas.openxmlformats.org/spreadsheetml/2006/main">
  <c r="C23" i="5" l="1"/>
  <c r="M228" i="1"/>
  <c r="M153" i="1"/>
  <c r="M107" i="1"/>
  <c r="M78" i="1"/>
  <c r="M47" i="1"/>
  <c r="F281" i="1"/>
  <c r="M202" i="1"/>
  <c r="M4" i="1"/>
  <c r="I1" i="5"/>
  <c r="C20" i="9"/>
  <c r="D2" i="9"/>
  <c r="C2" i="9"/>
  <c r="B14" i="9"/>
  <c r="B13" i="9"/>
  <c r="B12" i="9"/>
  <c r="B11" i="9"/>
  <c r="B10" i="9"/>
  <c r="B9" i="9"/>
  <c r="B8" i="9"/>
  <c r="B7" i="9"/>
  <c r="B6" i="9"/>
  <c r="B5" i="9"/>
  <c r="B4" i="9"/>
  <c r="B3" i="9"/>
  <c r="H12" i="5"/>
  <c r="H13" i="5"/>
  <c r="I4" i="5"/>
  <c r="I5" i="5"/>
  <c r="I6" i="5"/>
  <c r="I7" i="5"/>
  <c r="I3" i="5"/>
  <c r="C18" i="8"/>
  <c r="J64" i="1"/>
  <c r="K64" i="1"/>
  <c r="M64" i="1" s="1"/>
  <c r="L64" i="1"/>
  <c r="J65" i="1"/>
  <c r="K65" i="1"/>
  <c r="N65" i="1" s="1"/>
  <c r="L65" i="1"/>
  <c r="J66" i="1"/>
  <c r="K66" i="1"/>
  <c r="M66" i="1" s="1"/>
  <c r="L66" i="1"/>
  <c r="J67" i="1"/>
  <c r="K67" i="1"/>
  <c r="P67" i="1" s="1"/>
  <c r="L67" i="1"/>
  <c r="J68" i="1"/>
  <c r="K68" i="1"/>
  <c r="M68" i="1" s="1"/>
  <c r="L68" i="1"/>
  <c r="J69" i="1"/>
  <c r="K69" i="1"/>
  <c r="N69" i="1" s="1"/>
  <c r="L69" i="1"/>
  <c r="J70" i="1"/>
  <c r="K70" i="1"/>
  <c r="M70" i="1" s="1"/>
  <c r="L70" i="1"/>
  <c r="J71" i="1"/>
  <c r="K71" i="1"/>
  <c r="P71" i="1" s="1"/>
  <c r="L71" i="1"/>
  <c r="J72" i="1"/>
  <c r="K72" i="1"/>
  <c r="M72" i="1" s="1"/>
  <c r="L72" i="1"/>
  <c r="J73" i="1"/>
  <c r="K73" i="1"/>
  <c r="N73" i="1" s="1"/>
  <c r="L73" i="1"/>
  <c r="J74" i="1"/>
  <c r="K74" i="1"/>
  <c r="P74" i="1" s="1"/>
  <c r="L74" i="1"/>
  <c r="B18" i="9" l="1"/>
  <c r="S64" i="1"/>
  <c r="P64" i="1"/>
  <c r="O64" i="1"/>
  <c r="W66" i="1"/>
  <c r="V66" i="1"/>
  <c r="T66" i="1"/>
  <c r="R66" i="1"/>
  <c r="U73" i="1"/>
  <c r="O66" i="1"/>
  <c r="P73" i="1"/>
  <c r="T65" i="1"/>
  <c r="S65" i="1"/>
  <c r="S70" i="1"/>
  <c r="P65" i="1"/>
  <c r="P66" i="1"/>
  <c r="T73" i="1"/>
  <c r="O73" i="1"/>
  <c r="P72" i="1"/>
  <c r="P70" i="1"/>
  <c r="W67" i="1"/>
  <c r="S66" i="1"/>
  <c r="N66" i="1"/>
  <c r="U65" i="1"/>
  <c r="M65" i="1"/>
  <c r="W64" i="1"/>
  <c r="W74" i="1"/>
  <c r="S73" i="1"/>
  <c r="M73" i="1"/>
  <c r="W72" i="1"/>
  <c r="O72" i="1"/>
  <c r="W71" i="1"/>
  <c r="W70" i="1"/>
  <c r="O70" i="1"/>
  <c r="U69" i="1"/>
  <c r="S67" i="1"/>
  <c r="S72" i="1"/>
  <c r="S74" i="1"/>
  <c r="W73" i="1"/>
  <c r="Q73" i="1"/>
  <c r="T72" i="1"/>
  <c r="T70" i="1"/>
  <c r="R74" i="1"/>
  <c r="T69" i="1"/>
  <c r="O69" i="1"/>
  <c r="P68" i="1"/>
  <c r="U66" i="1"/>
  <c r="Q66" i="1"/>
  <c r="W65" i="1"/>
  <c r="Q65" i="1"/>
  <c r="T64" i="1"/>
  <c r="V74" i="1"/>
  <c r="N74" i="1"/>
  <c r="U74" i="1"/>
  <c r="Q74" i="1"/>
  <c r="M74" i="1"/>
  <c r="V70" i="1"/>
  <c r="R70" i="1"/>
  <c r="N70" i="1"/>
  <c r="S69" i="1"/>
  <c r="M69" i="1"/>
  <c r="W68" i="1"/>
  <c r="O68" i="1"/>
  <c r="O74" i="1"/>
  <c r="P69" i="1"/>
  <c r="S68" i="1"/>
  <c r="T74" i="1"/>
  <c r="U70" i="1"/>
  <c r="Q70" i="1"/>
  <c r="W69" i="1"/>
  <c r="Q69" i="1"/>
  <c r="T68" i="1"/>
  <c r="O65" i="1"/>
  <c r="O71" i="1"/>
  <c r="V71" i="1"/>
  <c r="R71" i="1"/>
  <c r="N71" i="1"/>
  <c r="V67" i="1"/>
  <c r="R67" i="1"/>
  <c r="N67" i="1"/>
  <c r="O67" i="1"/>
  <c r="V72" i="1"/>
  <c r="R72" i="1"/>
  <c r="N72" i="1"/>
  <c r="U71" i="1"/>
  <c r="Q71" i="1"/>
  <c r="M71" i="1"/>
  <c r="V68" i="1"/>
  <c r="R68" i="1"/>
  <c r="N68" i="1"/>
  <c r="U67" i="1"/>
  <c r="Q67" i="1"/>
  <c r="M67" i="1"/>
  <c r="V64" i="1"/>
  <c r="R64" i="1"/>
  <c r="N64" i="1"/>
  <c r="S71" i="1"/>
  <c r="V73" i="1"/>
  <c r="R73" i="1"/>
  <c r="U72" i="1"/>
  <c r="Q72" i="1"/>
  <c r="T71" i="1"/>
  <c r="V69" i="1"/>
  <c r="R69" i="1"/>
  <c r="U68" i="1"/>
  <c r="Q68" i="1"/>
  <c r="T67" i="1"/>
  <c r="V65" i="1"/>
  <c r="R65" i="1"/>
  <c r="U64" i="1"/>
  <c r="Q64" i="1"/>
  <c r="K193" i="1" l="1"/>
  <c r="K194" i="1"/>
  <c r="K195" i="1"/>
  <c r="K196" i="1"/>
  <c r="K197" i="1"/>
  <c r="K198" i="1"/>
  <c r="K142" i="1"/>
  <c r="K143" i="1"/>
  <c r="K144" i="1"/>
  <c r="K145" i="1"/>
  <c r="J146" i="1"/>
  <c r="K146" i="1"/>
  <c r="N146" i="1" s="1"/>
  <c r="L146" i="1"/>
  <c r="J147" i="1"/>
  <c r="K147" i="1"/>
  <c r="P147" i="1" s="1"/>
  <c r="L147" i="1"/>
  <c r="J148" i="1"/>
  <c r="K148" i="1"/>
  <c r="P148" i="1" s="1"/>
  <c r="L148" i="1"/>
  <c r="J149" i="1"/>
  <c r="K149" i="1"/>
  <c r="P149" i="1" s="1"/>
  <c r="L149" i="1"/>
  <c r="K92" i="1"/>
  <c r="K93" i="1"/>
  <c r="K94" i="1"/>
  <c r="K95" i="1"/>
  <c r="K96" i="1"/>
  <c r="K97" i="1"/>
  <c r="K98" i="1"/>
  <c r="K99" i="1"/>
  <c r="K100" i="1"/>
  <c r="K101" i="1"/>
  <c r="K102" i="1"/>
  <c r="K103" i="1"/>
  <c r="T146" i="1" l="1"/>
  <c r="R148" i="1"/>
  <c r="Q146" i="1"/>
  <c r="W147" i="1"/>
  <c r="O147" i="1"/>
  <c r="W146" i="1"/>
  <c r="P146" i="1"/>
  <c r="U146" i="1"/>
  <c r="O146" i="1"/>
  <c r="W148" i="1"/>
  <c r="O148" i="1"/>
  <c r="V148" i="1"/>
  <c r="N148" i="1"/>
  <c r="S148" i="1"/>
  <c r="S147" i="1"/>
  <c r="S146" i="1"/>
  <c r="M146" i="1"/>
  <c r="U147" i="1"/>
  <c r="Q147" i="1"/>
  <c r="M147" i="1"/>
  <c r="V147" i="1"/>
  <c r="R147" i="1"/>
  <c r="N147" i="1"/>
  <c r="T147" i="1"/>
  <c r="W149" i="1"/>
  <c r="S149" i="1"/>
  <c r="V149" i="1"/>
  <c r="R149" i="1"/>
  <c r="N149" i="1"/>
  <c r="U148" i="1"/>
  <c r="Q148" i="1"/>
  <c r="M148" i="1"/>
  <c r="U149" i="1"/>
  <c r="Q149" i="1"/>
  <c r="M149" i="1"/>
  <c r="T148" i="1"/>
  <c r="V146" i="1"/>
  <c r="R146" i="1"/>
  <c r="O149" i="1"/>
  <c r="T149" i="1"/>
  <c r="K136" i="1"/>
  <c r="K137" i="1"/>
  <c r="K138" i="1"/>
  <c r="K139" i="1"/>
  <c r="K140" i="1"/>
  <c r="K141" i="1"/>
  <c r="K217" i="1"/>
  <c r="K218" i="1"/>
  <c r="K219" i="1"/>
  <c r="K220" i="1"/>
  <c r="K221" i="1"/>
  <c r="K222" i="1"/>
  <c r="K251" i="1"/>
  <c r="K252" i="1"/>
  <c r="J253" i="1"/>
  <c r="K253" i="1"/>
  <c r="O253" i="1" s="1"/>
  <c r="L253" i="1"/>
  <c r="J254" i="1"/>
  <c r="K254" i="1"/>
  <c r="T254" i="1" s="1"/>
  <c r="L254" i="1"/>
  <c r="J255" i="1"/>
  <c r="K255" i="1"/>
  <c r="M255" i="1" s="1"/>
  <c r="L255" i="1"/>
  <c r="J256" i="1"/>
  <c r="K256" i="1"/>
  <c r="N256" i="1" s="1"/>
  <c r="L256" i="1"/>
  <c r="J257" i="1"/>
  <c r="K257" i="1"/>
  <c r="M257" i="1" s="1"/>
  <c r="L257" i="1"/>
  <c r="J258" i="1"/>
  <c r="K258" i="1"/>
  <c r="P258" i="1" s="1"/>
  <c r="L258" i="1"/>
  <c r="J259" i="1"/>
  <c r="K259" i="1"/>
  <c r="Q259" i="1" s="1"/>
  <c r="L259" i="1"/>
  <c r="J260" i="1"/>
  <c r="K260" i="1"/>
  <c r="R260" i="1" s="1"/>
  <c r="L260" i="1"/>
  <c r="K134" i="1"/>
  <c r="K135" i="1"/>
  <c r="S259" i="1" l="1"/>
  <c r="S260" i="1"/>
  <c r="U260" i="1"/>
  <c r="M260" i="1"/>
  <c r="R259" i="1"/>
  <c r="S258" i="1"/>
  <c r="R257" i="1"/>
  <c r="S253" i="1"/>
  <c r="T259" i="1"/>
  <c r="T257" i="1"/>
  <c r="N255" i="1"/>
  <c r="U253" i="1"/>
  <c r="Q257" i="1"/>
  <c r="V255" i="1"/>
  <c r="R253" i="1"/>
  <c r="P259" i="1"/>
  <c r="W256" i="1"/>
  <c r="O259" i="1"/>
  <c r="P257" i="1"/>
  <c r="U256" i="1"/>
  <c r="T255" i="1"/>
  <c r="Q253" i="1"/>
  <c r="S257" i="1"/>
  <c r="T253" i="1"/>
  <c r="N259" i="1"/>
  <c r="W257" i="1"/>
  <c r="O257" i="1"/>
  <c r="Q256" i="1"/>
  <c r="S255" i="1"/>
  <c r="P253" i="1"/>
  <c r="W259" i="1"/>
  <c r="V257" i="1"/>
  <c r="N257" i="1"/>
  <c r="O256" i="1"/>
  <c r="R255" i="1"/>
  <c r="N253" i="1"/>
  <c r="V259" i="1"/>
  <c r="U257" i="1"/>
  <c r="M256" i="1"/>
  <c r="P255" i="1"/>
  <c r="V253" i="1"/>
  <c r="M253" i="1"/>
  <c r="W258" i="1"/>
  <c r="S254" i="1"/>
  <c r="P260" i="1"/>
  <c r="V258" i="1"/>
  <c r="N258" i="1"/>
  <c r="T256" i="1"/>
  <c r="R254" i="1"/>
  <c r="Q260" i="1"/>
  <c r="O258" i="1"/>
  <c r="O260" i="1"/>
  <c r="Q254" i="1"/>
  <c r="W260" i="1"/>
  <c r="U258" i="1"/>
  <c r="M258" i="1"/>
  <c r="S256" i="1"/>
  <c r="V260" i="1"/>
  <c r="N260" i="1"/>
  <c r="U259" i="1"/>
  <c r="M259" i="1"/>
  <c r="T258" i="1"/>
  <c r="R256" i="1"/>
  <c r="Q255" i="1"/>
  <c r="P254" i="1"/>
  <c r="W253" i="1"/>
  <c r="W254" i="1"/>
  <c r="O254" i="1"/>
  <c r="T260" i="1"/>
  <c r="R258" i="1"/>
  <c r="P256" i="1"/>
  <c r="W255" i="1"/>
  <c r="O255" i="1"/>
  <c r="V254" i="1"/>
  <c r="N254" i="1"/>
  <c r="U254" i="1"/>
  <c r="Q258" i="1"/>
  <c r="M254" i="1"/>
  <c r="V256" i="1"/>
  <c r="U255" i="1"/>
  <c r="K128" i="1"/>
  <c r="K129" i="1"/>
  <c r="K130" i="1"/>
  <c r="K131" i="1"/>
  <c r="K132" i="1"/>
  <c r="K133" i="1"/>
  <c r="J150" i="1"/>
  <c r="K150" i="1"/>
  <c r="M150" i="1" s="1"/>
  <c r="L150" i="1"/>
  <c r="K120" i="1"/>
  <c r="K121" i="1"/>
  <c r="K122" i="1"/>
  <c r="K123" i="1"/>
  <c r="K87" i="1"/>
  <c r="K88" i="1"/>
  <c r="K89" i="1"/>
  <c r="K90" i="1"/>
  <c r="K91" i="1"/>
  <c r="J104" i="1"/>
  <c r="K104" i="1"/>
  <c r="R104" i="1" s="1"/>
  <c r="L104" i="1"/>
  <c r="K249" i="1"/>
  <c r="K250" i="1"/>
  <c r="K247" i="1"/>
  <c r="K242" i="1"/>
  <c r="K243" i="1"/>
  <c r="K244" i="1"/>
  <c r="K245" i="1"/>
  <c r="K246" i="1"/>
  <c r="K248" i="1"/>
  <c r="O150" i="1" l="1"/>
  <c r="Q150" i="1"/>
  <c r="W150" i="1"/>
  <c r="T150" i="1"/>
  <c r="P150" i="1"/>
  <c r="V150" i="1"/>
  <c r="N150" i="1"/>
  <c r="U150" i="1"/>
  <c r="S150" i="1"/>
  <c r="R150" i="1"/>
  <c r="P104" i="1"/>
  <c r="O104" i="1"/>
  <c r="T104" i="1"/>
  <c r="S104" i="1"/>
  <c r="W104" i="1"/>
  <c r="N104" i="1"/>
  <c r="V104" i="1"/>
  <c r="M104" i="1"/>
  <c r="U104" i="1"/>
  <c r="Q104" i="1"/>
  <c r="J261" i="1" l="1"/>
  <c r="J225" i="1"/>
  <c r="J199" i="1"/>
  <c r="J49" i="1"/>
  <c r="J50" i="1"/>
  <c r="J51" i="1"/>
  <c r="J52" i="1"/>
  <c r="J75" i="1"/>
  <c r="J48" i="1"/>
  <c r="J33" i="1"/>
  <c r="J34" i="1"/>
  <c r="J35" i="1"/>
  <c r="J36" i="1"/>
  <c r="J37" i="1"/>
  <c r="J38" i="1"/>
  <c r="J39" i="1"/>
  <c r="J40" i="1"/>
  <c r="J41" i="1"/>
  <c r="J42" i="1"/>
  <c r="J43" i="1"/>
  <c r="J44" i="1"/>
  <c r="J5" i="1"/>
  <c r="J79" i="1"/>
  <c r="K52" i="1" l="1"/>
  <c r="K53" i="1"/>
  <c r="K54" i="1"/>
  <c r="K55" i="1"/>
  <c r="K56" i="1"/>
  <c r="K57" i="1"/>
  <c r="K58" i="1"/>
  <c r="K59" i="1"/>
  <c r="K60" i="1"/>
  <c r="K61" i="1"/>
  <c r="K62" i="1"/>
  <c r="K230" i="1" l="1"/>
  <c r="K231" i="1"/>
  <c r="K232" i="1"/>
  <c r="K233" i="1"/>
  <c r="K234" i="1"/>
  <c r="K235" i="1"/>
  <c r="K236" i="1"/>
  <c r="K237" i="1"/>
  <c r="K238" i="1"/>
  <c r="K239" i="1"/>
  <c r="K240" i="1"/>
  <c r="K241" i="1"/>
  <c r="K261" i="1"/>
  <c r="L261" i="1"/>
  <c r="K229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23" i="1"/>
  <c r="K224" i="1"/>
  <c r="K225" i="1"/>
  <c r="N225" i="1" s="1"/>
  <c r="L225" i="1"/>
  <c r="K203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9" i="1"/>
  <c r="K154" i="1"/>
  <c r="K109" i="1"/>
  <c r="K110" i="1"/>
  <c r="K111" i="1"/>
  <c r="K112" i="1"/>
  <c r="K113" i="1"/>
  <c r="K114" i="1"/>
  <c r="K115" i="1"/>
  <c r="K116" i="1"/>
  <c r="K117" i="1"/>
  <c r="K118" i="1"/>
  <c r="K119" i="1"/>
  <c r="K124" i="1"/>
  <c r="K125" i="1"/>
  <c r="K126" i="1"/>
  <c r="K127" i="1"/>
  <c r="K108" i="1"/>
  <c r="K80" i="1"/>
  <c r="K81" i="1"/>
  <c r="K82" i="1"/>
  <c r="K83" i="1"/>
  <c r="K84" i="1"/>
  <c r="K85" i="1"/>
  <c r="K86" i="1"/>
  <c r="K79" i="1"/>
  <c r="K63" i="1"/>
  <c r="K75" i="1"/>
  <c r="K48" i="1"/>
  <c r="K49" i="1"/>
  <c r="K50" i="1"/>
  <c r="K51" i="1"/>
  <c r="E200" i="1" l="1"/>
  <c r="Q225" i="1"/>
  <c r="M225" i="1"/>
  <c r="U225" i="1"/>
  <c r="T225" i="1"/>
  <c r="P225" i="1"/>
  <c r="W225" i="1"/>
  <c r="S225" i="1"/>
  <c r="O225" i="1"/>
  <c r="V225" i="1"/>
  <c r="R225" i="1"/>
  <c r="A1" i="1" l="1"/>
  <c r="A2" i="1" s="1"/>
  <c r="J62" i="1" l="1"/>
  <c r="J63" i="1"/>
  <c r="J61" i="1"/>
  <c r="J198" i="1"/>
  <c r="L198" i="1" s="1"/>
  <c r="J197" i="1"/>
  <c r="L197" i="1" s="1"/>
  <c r="J60" i="1"/>
  <c r="J195" i="1"/>
  <c r="L195" i="1" s="1"/>
  <c r="J196" i="1"/>
  <c r="L196" i="1" s="1"/>
  <c r="J145" i="1"/>
  <c r="L145" i="1" s="1"/>
  <c r="J194" i="1"/>
  <c r="L194" i="1" s="1"/>
  <c r="J193" i="1"/>
  <c r="L193" i="1" s="1"/>
  <c r="J144" i="1"/>
  <c r="L144" i="1" s="1"/>
  <c r="J143" i="1"/>
  <c r="L143" i="1" s="1"/>
  <c r="J192" i="1"/>
  <c r="J141" i="1"/>
  <c r="L141" i="1" s="1"/>
  <c r="J142" i="1"/>
  <c r="L142" i="1" s="1"/>
  <c r="J139" i="1"/>
  <c r="L139" i="1" s="1"/>
  <c r="J140" i="1"/>
  <c r="L140" i="1" s="1"/>
  <c r="J224" i="1"/>
  <c r="L224" i="1" s="1"/>
  <c r="J54" i="1"/>
  <c r="J252" i="1"/>
  <c r="L252" i="1" s="1"/>
  <c r="J190" i="1"/>
  <c r="J191" i="1"/>
  <c r="J251" i="1"/>
  <c r="L251" i="1" s="1"/>
  <c r="J134" i="1"/>
  <c r="L134" i="1" s="1"/>
  <c r="J212" i="1"/>
  <c r="L212" i="1" s="1"/>
  <c r="J213" i="1"/>
  <c r="L213" i="1" s="1"/>
  <c r="J211" i="1"/>
  <c r="L211" i="1" s="1"/>
  <c r="J208" i="1"/>
  <c r="L208" i="1" s="1"/>
  <c r="J209" i="1"/>
  <c r="L209" i="1" s="1"/>
  <c r="J88" i="1"/>
  <c r="L88" i="1" s="1"/>
  <c r="J207" i="1"/>
  <c r="J133" i="1"/>
  <c r="L133" i="1" s="1"/>
  <c r="J131" i="1"/>
  <c r="L131" i="1" s="1"/>
  <c r="J132" i="1"/>
  <c r="L132" i="1" s="1"/>
  <c r="J129" i="1"/>
  <c r="L129" i="1" s="1"/>
  <c r="J130" i="1"/>
  <c r="L130" i="1" s="1"/>
  <c r="J127" i="1"/>
  <c r="J128" i="1"/>
  <c r="L128" i="1" s="1"/>
  <c r="J125" i="1"/>
  <c r="L125" i="1" s="1"/>
  <c r="J126" i="1"/>
  <c r="L126" i="1" s="1"/>
  <c r="J123" i="1"/>
  <c r="L123" i="1" s="1"/>
  <c r="J124" i="1"/>
  <c r="J121" i="1"/>
  <c r="L121" i="1" s="1"/>
  <c r="J122" i="1"/>
  <c r="L122" i="1" s="1"/>
  <c r="J87" i="1"/>
  <c r="L87" i="1" s="1"/>
  <c r="J120" i="1"/>
  <c r="L120" i="1" s="1"/>
  <c r="J187" i="1"/>
  <c r="J186" i="1"/>
  <c r="J184" i="1"/>
  <c r="J185" i="1"/>
  <c r="J182" i="1"/>
  <c r="J183" i="1"/>
  <c r="J118" i="1"/>
  <c r="J119" i="1"/>
  <c r="J116" i="1"/>
  <c r="J117" i="1"/>
  <c r="J250" i="1"/>
  <c r="L250" i="1" s="1"/>
  <c r="J115" i="1"/>
  <c r="J86" i="1"/>
  <c r="L86" i="1" s="1"/>
  <c r="J85" i="1"/>
  <c r="L85" i="1" s="1"/>
  <c r="J180" i="1"/>
  <c r="J181" i="1"/>
  <c r="J249" i="1"/>
  <c r="L249" i="1" s="1"/>
  <c r="J179" i="1"/>
  <c r="J248" i="1"/>
  <c r="L248" i="1" s="1"/>
  <c r="J114" i="1"/>
  <c r="J84" i="1"/>
  <c r="L84" i="1" s="1"/>
  <c r="J247" i="1"/>
  <c r="L247" i="1" s="1"/>
  <c r="J178" i="1"/>
  <c r="J176" i="1"/>
  <c r="J177" i="1"/>
  <c r="J245" i="1"/>
  <c r="L245" i="1" s="1"/>
  <c r="J246" i="1"/>
  <c r="L246" i="1" s="1"/>
  <c r="J242" i="1"/>
  <c r="L242" i="1" s="1"/>
  <c r="J243" i="1"/>
  <c r="L243" i="1" s="1"/>
  <c r="J83" i="1"/>
  <c r="L83" i="1" s="1"/>
  <c r="J244" i="1"/>
  <c r="L244" i="1" s="1"/>
  <c r="J113" i="1"/>
  <c r="J230" i="1"/>
  <c r="J234" i="1"/>
  <c r="J238" i="1"/>
  <c r="J237" i="1"/>
  <c r="J231" i="1"/>
  <c r="J235" i="1"/>
  <c r="J239" i="1"/>
  <c r="J241" i="1"/>
  <c r="J232" i="1"/>
  <c r="J236" i="1"/>
  <c r="J240" i="1"/>
  <c r="J233" i="1"/>
  <c r="J229" i="1"/>
  <c r="J204" i="1"/>
  <c r="J205" i="1"/>
  <c r="J206" i="1"/>
  <c r="J203" i="1"/>
  <c r="J155" i="1"/>
  <c r="J159" i="1"/>
  <c r="J163" i="1"/>
  <c r="J167" i="1"/>
  <c r="J171" i="1"/>
  <c r="J175" i="1"/>
  <c r="J166" i="1"/>
  <c r="J174" i="1"/>
  <c r="J156" i="1"/>
  <c r="J160" i="1"/>
  <c r="J164" i="1"/>
  <c r="J168" i="1"/>
  <c r="J172" i="1"/>
  <c r="J162" i="1"/>
  <c r="J157" i="1"/>
  <c r="J161" i="1"/>
  <c r="J165" i="1"/>
  <c r="J169" i="1"/>
  <c r="J173" i="1"/>
  <c r="J158" i="1"/>
  <c r="J170" i="1"/>
  <c r="J154" i="1"/>
  <c r="J109" i="1"/>
  <c r="J110" i="1"/>
  <c r="J111" i="1"/>
  <c r="J112" i="1"/>
  <c r="J108" i="1"/>
  <c r="J82" i="1"/>
  <c r="J81" i="1"/>
  <c r="J80" i="1"/>
  <c r="J215" i="1" l="1"/>
  <c r="L215" i="1" s="1"/>
  <c r="J219" i="1"/>
  <c r="L219" i="1" s="1"/>
  <c r="J55" i="1"/>
  <c r="J188" i="1"/>
  <c r="J216" i="1"/>
  <c r="L216" i="1" s="1"/>
  <c r="J220" i="1"/>
  <c r="L220" i="1" s="1"/>
  <c r="J135" i="1"/>
  <c r="L135" i="1" s="1"/>
  <c r="J189" i="1"/>
  <c r="J217" i="1"/>
  <c r="L217" i="1" s="1"/>
  <c r="J136" i="1"/>
  <c r="L136" i="1" s="1"/>
  <c r="J210" i="1"/>
  <c r="L210" i="1" s="1"/>
  <c r="J214" i="1"/>
  <c r="J89" i="1"/>
  <c r="L89" i="1" s="1"/>
  <c r="J218" i="1"/>
  <c r="L218" i="1" s="1"/>
  <c r="J59" i="1"/>
  <c r="J221" i="1"/>
  <c r="L221" i="1" s="1"/>
  <c r="J53" i="1"/>
  <c r="J57" i="1"/>
  <c r="J138" i="1"/>
  <c r="L138" i="1" s="1"/>
  <c r="J222" i="1"/>
  <c r="L222" i="1" s="1"/>
  <c r="J56" i="1"/>
  <c r="J90" i="1"/>
  <c r="L90" i="1" s="1"/>
  <c r="J137" i="1"/>
  <c r="L137" i="1" s="1"/>
  <c r="J223" i="1"/>
  <c r="L223" i="1" s="1"/>
  <c r="J58" i="1"/>
  <c r="J91" i="1"/>
  <c r="L91" i="1" s="1"/>
  <c r="J101" i="1"/>
  <c r="L101" i="1" s="1"/>
  <c r="J94" i="1"/>
  <c r="L94" i="1" s="1"/>
  <c r="J96" i="1"/>
  <c r="L96" i="1" s="1"/>
  <c r="J99" i="1"/>
  <c r="L99" i="1" s="1"/>
  <c r="J92" i="1"/>
  <c r="L92" i="1" s="1"/>
  <c r="J93" i="1"/>
  <c r="L93" i="1" s="1"/>
  <c r="J95" i="1"/>
  <c r="L95" i="1" s="1"/>
  <c r="J97" i="1"/>
  <c r="L97" i="1" s="1"/>
  <c r="J98" i="1"/>
  <c r="L98" i="1" s="1"/>
  <c r="J100" i="1"/>
  <c r="L100" i="1" s="1"/>
  <c r="J102" i="1"/>
  <c r="L102" i="1" s="1"/>
  <c r="J103" i="1"/>
  <c r="L103" i="1" s="1"/>
  <c r="G4" i="12" l="1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3" i="12"/>
  <c r="G5" i="9" l="1"/>
  <c r="F5" i="9"/>
  <c r="H4" i="9"/>
  <c r="H3" i="9"/>
  <c r="B9" i="8"/>
  <c r="J18" i="8" s="1"/>
  <c r="B8" i="8"/>
  <c r="I18" i="8" s="1"/>
  <c r="B7" i="8"/>
  <c r="H18" i="8" s="1"/>
  <c r="B6" i="8"/>
  <c r="G18" i="8" s="1"/>
  <c r="B5" i="8"/>
  <c r="F18" i="8" s="1"/>
  <c r="B4" i="8"/>
  <c r="E18" i="8" s="1"/>
  <c r="B3" i="8"/>
  <c r="D18" i="8" s="1"/>
  <c r="C18" i="5"/>
  <c r="A1" i="5"/>
  <c r="G282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J32" i="1" s="1"/>
  <c r="K31" i="1"/>
  <c r="J31" i="1" s="1"/>
  <c r="K30" i="1"/>
  <c r="J30" i="1" s="1"/>
  <c r="K29" i="1"/>
  <c r="J29" i="1" s="1"/>
  <c r="K28" i="1"/>
  <c r="J28" i="1" s="1"/>
  <c r="K27" i="1"/>
  <c r="J27" i="1" s="1"/>
  <c r="K26" i="1"/>
  <c r="J26" i="1" s="1"/>
  <c r="K25" i="1"/>
  <c r="J25" i="1" s="1"/>
  <c r="K24" i="1"/>
  <c r="J24" i="1" s="1"/>
  <c r="K23" i="1"/>
  <c r="J23" i="1" s="1"/>
  <c r="K22" i="1"/>
  <c r="J22" i="1" s="1"/>
  <c r="K21" i="1"/>
  <c r="J21" i="1" s="1"/>
  <c r="K20" i="1"/>
  <c r="J20" i="1" s="1"/>
  <c r="K19" i="1"/>
  <c r="J19" i="1" s="1"/>
  <c r="K18" i="1"/>
  <c r="J18" i="1" s="1"/>
  <c r="K17" i="1"/>
  <c r="J17" i="1" s="1"/>
  <c r="K16" i="1"/>
  <c r="J16" i="1" s="1"/>
  <c r="K15" i="1"/>
  <c r="J15" i="1" s="1"/>
  <c r="K14" i="1"/>
  <c r="J14" i="1" s="1"/>
  <c r="K13" i="1"/>
  <c r="J13" i="1" s="1"/>
  <c r="K12" i="1"/>
  <c r="J12" i="1" s="1"/>
  <c r="K11" i="1"/>
  <c r="J11" i="1" s="1"/>
  <c r="K10" i="1"/>
  <c r="J10" i="1" s="1"/>
  <c r="K9" i="1"/>
  <c r="J9" i="1" s="1"/>
  <c r="K8" i="1"/>
  <c r="J8" i="1" s="1"/>
  <c r="K7" i="1"/>
  <c r="J7" i="1" s="1"/>
  <c r="K6" i="1"/>
  <c r="J6" i="1" s="1"/>
  <c r="K5" i="1"/>
  <c r="H5" i="9" l="1"/>
  <c r="C4" i="5"/>
  <c r="H10" i="5" s="1"/>
  <c r="E45" i="1"/>
  <c r="L240" i="1"/>
  <c r="L241" i="1"/>
  <c r="L238" i="1"/>
  <c r="L239" i="1"/>
  <c r="L6" i="1"/>
  <c r="L75" i="1"/>
  <c r="L82" i="1"/>
  <c r="L61" i="1"/>
  <c r="L58" i="1"/>
  <c r="L60" i="1"/>
  <c r="L62" i="1"/>
  <c r="L53" i="1"/>
  <c r="L54" i="1"/>
  <c r="L55" i="1"/>
  <c r="L56" i="1"/>
  <c r="L57" i="1"/>
  <c r="L59" i="1"/>
  <c r="L7" i="1"/>
  <c r="L51" i="1"/>
  <c r="L63" i="1"/>
  <c r="L199" i="1"/>
  <c r="L229" i="1"/>
  <c r="L232" i="1"/>
  <c r="L237" i="1"/>
  <c r="L230" i="1"/>
  <c r="L231" i="1"/>
  <c r="L233" i="1"/>
  <c r="L234" i="1"/>
  <c r="L235" i="1"/>
  <c r="L236" i="1"/>
  <c r="L203" i="1"/>
  <c r="L206" i="1"/>
  <c r="L204" i="1"/>
  <c r="L205" i="1"/>
  <c r="L154" i="1"/>
  <c r="L164" i="1"/>
  <c r="L172" i="1"/>
  <c r="L175" i="1"/>
  <c r="L178" i="1"/>
  <c r="L180" i="1"/>
  <c r="L183" i="1"/>
  <c r="L185" i="1"/>
  <c r="L188" i="1"/>
  <c r="L190" i="1"/>
  <c r="L155" i="1"/>
  <c r="L156" i="1"/>
  <c r="L157" i="1"/>
  <c r="L158" i="1"/>
  <c r="L159" i="1"/>
  <c r="L160" i="1"/>
  <c r="L161" i="1"/>
  <c r="L162" i="1"/>
  <c r="L163" i="1"/>
  <c r="L165" i="1"/>
  <c r="L166" i="1"/>
  <c r="L167" i="1"/>
  <c r="L168" i="1"/>
  <c r="L169" i="1"/>
  <c r="L170" i="1"/>
  <c r="L171" i="1"/>
  <c r="L173" i="1"/>
  <c r="L174" i="1"/>
  <c r="L176" i="1"/>
  <c r="L177" i="1"/>
  <c r="L179" i="1"/>
  <c r="L181" i="1"/>
  <c r="L182" i="1"/>
  <c r="L184" i="1"/>
  <c r="L186" i="1"/>
  <c r="L187" i="1"/>
  <c r="L189" i="1"/>
  <c r="L191" i="1"/>
  <c r="L192" i="1"/>
  <c r="L108" i="1"/>
  <c r="L110" i="1"/>
  <c r="L117" i="1"/>
  <c r="L109" i="1"/>
  <c r="L111" i="1"/>
  <c r="L112" i="1"/>
  <c r="L113" i="1"/>
  <c r="L114" i="1"/>
  <c r="L115" i="1"/>
  <c r="L116" i="1"/>
  <c r="L118" i="1"/>
  <c r="L119" i="1"/>
  <c r="L124" i="1"/>
  <c r="L127" i="1"/>
  <c r="L79" i="1"/>
  <c r="L81" i="1"/>
  <c r="L80" i="1"/>
  <c r="L48" i="1"/>
  <c r="L49" i="1"/>
  <c r="L50" i="1"/>
  <c r="L40" i="1"/>
  <c r="L41" i="1"/>
  <c r="U40" i="1"/>
  <c r="N40" i="1"/>
  <c r="V40" i="1"/>
  <c r="O40" i="1"/>
  <c r="W40" i="1"/>
  <c r="R40" i="1"/>
  <c r="P40" i="1"/>
  <c r="Q40" i="1"/>
  <c r="T40" i="1"/>
  <c r="M40" i="1"/>
  <c r="S40" i="1"/>
  <c r="S41" i="1"/>
  <c r="M41" i="1"/>
  <c r="T41" i="1"/>
  <c r="U41" i="1"/>
  <c r="N41" i="1"/>
  <c r="V41" i="1"/>
  <c r="O41" i="1"/>
  <c r="W41" i="1"/>
  <c r="P41" i="1"/>
  <c r="R41" i="1"/>
  <c r="Q41" i="1"/>
  <c r="L5" i="1"/>
  <c r="D2" i="1"/>
  <c r="E105" i="1"/>
  <c r="E76" i="1"/>
  <c r="E151" i="1"/>
  <c r="E262" i="1"/>
  <c r="E226" i="1"/>
  <c r="I4" i="9"/>
  <c r="I3" i="9"/>
  <c r="J264" i="1" l="1"/>
  <c r="J4" i="9"/>
  <c r="K4" i="9" s="1"/>
  <c r="D3" i="9"/>
  <c r="D6" i="9"/>
  <c r="D8" i="9"/>
  <c r="D10" i="9"/>
  <c r="D12" i="9"/>
  <c r="D14" i="9"/>
  <c r="D16" i="9"/>
  <c r="D5" i="9"/>
  <c r="D7" i="9"/>
  <c r="D9" i="9"/>
  <c r="D13" i="9"/>
  <c r="D15" i="9"/>
  <c r="D4" i="9"/>
  <c r="D11" i="9"/>
  <c r="D17" i="9"/>
  <c r="C4" i="9"/>
  <c r="C6" i="9"/>
  <c r="C8" i="9"/>
  <c r="C10" i="9"/>
  <c r="C12" i="9"/>
  <c r="C14" i="9"/>
  <c r="C16" i="9"/>
  <c r="C3" i="9"/>
  <c r="C7" i="9"/>
  <c r="C11" i="9"/>
  <c r="C15" i="9"/>
  <c r="C17" i="9"/>
  <c r="C5" i="9"/>
  <c r="C9" i="9"/>
  <c r="C13" i="9"/>
  <c r="I64" i="1"/>
  <c r="I68" i="1"/>
  <c r="I72" i="1"/>
  <c r="I65" i="1"/>
  <c r="I69" i="1"/>
  <c r="I73" i="1"/>
  <c r="I67" i="1"/>
  <c r="I71" i="1"/>
  <c r="I66" i="1"/>
  <c r="I70" i="1"/>
  <c r="I74" i="1"/>
  <c r="I193" i="1"/>
  <c r="I196" i="1"/>
  <c r="I195" i="1"/>
  <c r="I197" i="1"/>
  <c r="I194" i="1"/>
  <c r="I198" i="1"/>
  <c r="I142" i="1"/>
  <c r="I146" i="1"/>
  <c r="I145" i="1"/>
  <c r="I149" i="1"/>
  <c r="I143" i="1"/>
  <c r="I147" i="1"/>
  <c r="I144" i="1"/>
  <c r="I148" i="1"/>
  <c r="I92" i="1"/>
  <c r="I93" i="1"/>
  <c r="I94" i="1"/>
  <c r="I95" i="1"/>
  <c r="I96" i="1"/>
  <c r="I97" i="1"/>
  <c r="I98" i="1"/>
  <c r="I99" i="1"/>
  <c r="I100" i="1"/>
  <c r="I101" i="1"/>
  <c r="I102" i="1"/>
  <c r="I103" i="1"/>
  <c r="I136" i="1"/>
  <c r="I140" i="1"/>
  <c r="I139" i="1"/>
  <c r="I137" i="1"/>
  <c r="I141" i="1"/>
  <c r="I138" i="1"/>
  <c r="I217" i="1"/>
  <c r="I221" i="1"/>
  <c r="I218" i="1"/>
  <c r="I222" i="1"/>
  <c r="I220" i="1"/>
  <c r="I219" i="1"/>
  <c r="I251" i="1"/>
  <c r="I259" i="1"/>
  <c r="I258" i="1"/>
  <c r="I257" i="1"/>
  <c r="I256" i="1"/>
  <c r="I255" i="1"/>
  <c r="I254" i="1"/>
  <c r="I253" i="1"/>
  <c r="I252" i="1"/>
  <c r="I260" i="1"/>
  <c r="I135" i="1"/>
  <c r="I134" i="1"/>
  <c r="I128" i="1"/>
  <c r="I150" i="1"/>
  <c r="I133" i="1"/>
  <c r="I130" i="1"/>
  <c r="I132" i="1"/>
  <c r="I131" i="1"/>
  <c r="I129" i="1"/>
  <c r="I120" i="1"/>
  <c r="I123" i="1"/>
  <c r="I121" i="1"/>
  <c r="I122" i="1"/>
  <c r="I87" i="1"/>
  <c r="I104" i="1"/>
  <c r="I91" i="1"/>
  <c r="I90" i="1"/>
  <c r="I88" i="1"/>
  <c r="I89" i="1"/>
  <c r="I247" i="1"/>
  <c r="I249" i="1"/>
  <c r="I250" i="1"/>
  <c r="I82" i="1"/>
  <c r="I242" i="1"/>
  <c r="I244" i="1"/>
  <c r="I246" i="1"/>
  <c r="I248" i="1"/>
  <c r="I245" i="1"/>
  <c r="I243" i="1"/>
  <c r="I15" i="1"/>
  <c r="I19" i="1"/>
  <c r="I23" i="1"/>
  <c r="I27" i="1"/>
  <c r="I31" i="1"/>
  <c r="I21" i="1"/>
  <c r="I29" i="1"/>
  <c r="I22" i="1"/>
  <c r="I16" i="1"/>
  <c r="I20" i="1"/>
  <c r="I24" i="1"/>
  <c r="I28" i="1"/>
  <c r="I17" i="1"/>
  <c r="I25" i="1"/>
  <c r="I18" i="1"/>
  <c r="I26" i="1"/>
  <c r="I30" i="1"/>
  <c r="I53" i="1"/>
  <c r="I54" i="1"/>
  <c r="I55" i="1"/>
  <c r="I56" i="1"/>
  <c r="I57" i="1"/>
  <c r="I58" i="1"/>
  <c r="I59" i="1"/>
  <c r="I60" i="1"/>
  <c r="I61" i="1"/>
  <c r="I62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61" i="1"/>
  <c r="I203" i="1"/>
  <c r="I204" i="1"/>
  <c r="I205" i="1"/>
  <c r="I206" i="1"/>
  <c r="I208" i="1"/>
  <c r="I209" i="1"/>
  <c r="I210" i="1"/>
  <c r="I211" i="1"/>
  <c r="I212" i="1"/>
  <c r="I213" i="1"/>
  <c r="I215" i="1"/>
  <c r="I216" i="1"/>
  <c r="I223" i="1"/>
  <c r="I224" i="1"/>
  <c r="I225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9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4" i="1"/>
  <c r="I125" i="1"/>
  <c r="I126" i="1"/>
  <c r="I127" i="1"/>
  <c r="I79" i="1"/>
  <c r="I80" i="1"/>
  <c r="I81" i="1"/>
  <c r="I83" i="1"/>
  <c r="I84" i="1"/>
  <c r="I85" i="1"/>
  <c r="I86" i="1"/>
  <c r="I63" i="1"/>
  <c r="I75" i="1"/>
  <c r="I51" i="1"/>
  <c r="I48" i="1"/>
  <c r="I49" i="1"/>
  <c r="I50" i="1"/>
  <c r="I5" i="1"/>
  <c r="I6" i="1"/>
  <c r="I7" i="1"/>
  <c r="I11" i="1"/>
  <c r="I35" i="1"/>
  <c r="I43" i="1"/>
  <c r="I36" i="1"/>
  <c r="I44" i="1"/>
  <c r="I9" i="1"/>
  <c r="I33" i="1"/>
  <c r="I41" i="1"/>
  <c r="I14" i="1"/>
  <c r="I34" i="1"/>
  <c r="I38" i="1"/>
  <c r="I8" i="1"/>
  <c r="I12" i="1"/>
  <c r="I32" i="1"/>
  <c r="I40" i="1"/>
  <c r="I13" i="1"/>
  <c r="I37" i="1"/>
  <c r="I10" i="1"/>
  <c r="I42" i="1"/>
  <c r="L43" i="1"/>
  <c r="L38" i="1"/>
  <c r="L14" i="1"/>
  <c r="L17" i="1"/>
  <c r="L33" i="1"/>
  <c r="L32" i="1"/>
  <c r="L31" i="1"/>
  <c r="L30" i="1"/>
  <c r="L25" i="1"/>
  <c r="L22" i="1"/>
  <c r="L34" i="1"/>
  <c r="J2" i="1"/>
  <c r="L19" i="1"/>
  <c r="L44" i="1"/>
  <c r="L28" i="1"/>
  <c r="L29" i="1"/>
  <c r="L15" i="1"/>
  <c r="L20" i="1"/>
  <c r="L12" i="1"/>
  <c r="C2" i="1"/>
  <c r="L36" i="1"/>
  <c r="L9" i="1"/>
  <c r="L16" i="1"/>
  <c r="L23" i="1"/>
  <c r="I5" i="9"/>
  <c r="J3" i="9"/>
  <c r="L35" i="1"/>
  <c r="A19" i="8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B3" i="1"/>
  <c r="L27" i="1"/>
  <c r="L21" i="1"/>
  <c r="L26" i="1"/>
  <c r="L8" i="1"/>
  <c r="L42" i="1"/>
  <c r="L10" i="1"/>
  <c r="L37" i="1"/>
  <c r="L24" i="1"/>
  <c r="L13" i="1"/>
  <c r="L11" i="1"/>
  <c r="L18" i="1"/>
  <c r="C18" i="9" l="1"/>
  <c r="D18" i="9"/>
  <c r="M1" i="1"/>
  <c r="I151" i="1"/>
  <c r="I105" i="1"/>
  <c r="I262" i="1"/>
  <c r="I200" i="1"/>
  <c r="W79" i="1"/>
  <c r="S79" i="1"/>
  <c r="O79" i="1"/>
  <c r="V79" i="1"/>
  <c r="R79" i="1"/>
  <c r="N79" i="1"/>
  <c r="U79" i="1"/>
  <c r="Q79" i="1"/>
  <c r="M79" i="1"/>
  <c r="T79" i="1"/>
  <c r="P79" i="1"/>
  <c r="B267" i="1"/>
  <c r="I267" i="1" s="1"/>
  <c r="C3" i="8"/>
  <c r="M3" i="1"/>
  <c r="J5" i="9"/>
  <c r="K3" i="9"/>
  <c r="B19" i="8" l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N1" i="1"/>
  <c r="L151" i="1"/>
  <c r="E6" i="8" s="1"/>
  <c r="L105" i="1"/>
  <c r="E5" i="8" s="1"/>
  <c r="D5" i="8"/>
  <c r="F19" i="8" s="1"/>
  <c r="D7" i="8"/>
  <c r="H19" i="8" s="1"/>
  <c r="D6" i="8"/>
  <c r="G19" i="8" s="1"/>
  <c r="L200" i="1"/>
  <c r="E7" i="8" s="1"/>
  <c r="K5" i="9"/>
  <c r="M2" i="1"/>
  <c r="M198" i="1" s="1"/>
  <c r="N3" i="1"/>
  <c r="O1" i="1" l="1"/>
  <c r="L214" i="1"/>
  <c r="I214" i="1"/>
  <c r="M196" i="1"/>
  <c r="M197" i="1"/>
  <c r="M194" i="1"/>
  <c r="M195" i="1"/>
  <c r="M144" i="1"/>
  <c r="M145" i="1"/>
  <c r="M143" i="1"/>
  <c r="M193" i="1"/>
  <c r="M141" i="1"/>
  <c r="M142" i="1"/>
  <c r="M139" i="1"/>
  <c r="M140" i="1"/>
  <c r="M223" i="1"/>
  <c r="M224" i="1"/>
  <c r="M103" i="1"/>
  <c r="M99" i="1"/>
  <c r="M95" i="1"/>
  <c r="M102" i="1"/>
  <c r="M98" i="1"/>
  <c r="M94" i="1"/>
  <c r="M100" i="1"/>
  <c r="M96" i="1"/>
  <c r="M92" i="1"/>
  <c r="M101" i="1"/>
  <c r="M97" i="1"/>
  <c r="M93" i="1"/>
  <c r="M90" i="1"/>
  <c r="M91" i="1"/>
  <c r="M136" i="1"/>
  <c r="M137" i="1"/>
  <c r="M252" i="1"/>
  <c r="M138" i="1"/>
  <c r="M82" i="1"/>
  <c r="M219" i="1"/>
  <c r="M217" i="1"/>
  <c r="M222" i="1"/>
  <c r="M220" i="1"/>
  <c r="M218" i="1"/>
  <c r="M221" i="1"/>
  <c r="M216" i="1"/>
  <c r="M89" i="1"/>
  <c r="M251" i="1"/>
  <c r="M215" i="1"/>
  <c r="M214" i="1"/>
  <c r="M135" i="1"/>
  <c r="M134" i="1"/>
  <c r="M212" i="1"/>
  <c r="M213" i="1"/>
  <c r="M210" i="1"/>
  <c r="M211" i="1"/>
  <c r="M208" i="1"/>
  <c r="M209" i="1"/>
  <c r="M207" i="1"/>
  <c r="M88" i="1"/>
  <c r="M133" i="1"/>
  <c r="M131" i="1"/>
  <c r="M132" i="1"/>
  <c r="M129" i="1"/>
  <c r="M130" i="1"/>
  <c r="M126" i="1"/>
  <c r="M128" i="1"/>
  <c r="M123" i="1"/>
  <c r="M125" i="1"/>
  <c r="M121" i="1"/>
  <c r="M122" i="1"/>
  <c r="M87" i="1"/>
  <c r="M120" i="1"/>
  <c r="M86" i="1"/>
  <c r="M250" i="1"/>
  <c r="M249" i="1"/>
  <c r="M85" i="1"/>
  <c r="M247" i="1"/>
  <c r="M248" i="1"/>
  <c r="M246" i="1"/>
  <c r="M84" i="1"/>
  <c r="M243" i="1"/>
  <c r="M245" i="1"/>
  <c r="M244" i="1"/>
  <c r="M242" i="1"/>
  <c r="M261" i="1"/>
  <c r="M83" i="1"/>
  <c r="M239" i="1"/>
  <c r="M240" i="1"/>
  <c r="M241" i="1"/>
  <c r="M7" i="1"/>
  <c r="M238" i="1"/>
  <c r="M75" i="1"/>
  <c r="M5" i="1"/>
  <c r="M6" i="1"/>
  <c r="M51" i="1"/>
  <c r="M61" i="1"/>
  <c r="M57" i="1"/>
  <c r="M53" i="1"/>
  <c r="M62" i="1"/>
  <c r="M58" i="1"/>
  <c r="M54" i="1"/>
  <c r="M59" i="1"/>
  <c r="M55" i="1"/>
  <c r="M60" i="1"/>
  <c r="M56" i="1"/>
  <c r="M63" i="1"/>
  <c r="M199" i="1"/>
  <c r="L207" i="1"/>
  <c r="I207" i="1"/>
  <c r="M229" i="1"/>
  <c r="M230" i="1"/>
  <c r="M234" i="1"/>
  <c r="M235" i="1"/>
  <c r="M233" i="1"/>
  <c r="M237" i="1"/>
  <c r="M232" i="1"/>
  <c r="M236" i="1"/>
  <c r="M231" i="1"/>
  <c r="M203" i="1"/>
  <c r="M204" i="1"/>
  <c r="M206" i="1"/>
  <c r="M205" i="1"/>
  <c r="M154" i="1"/>
  <c r="M155" i="1"/>
  <c r="M159" i="1"/>
  <c r="M163" i="1"/>
  <c r="M167" i="1"/>
  <c r="M171" i="1"/>
  <c r="M175" i="1"/>
  <c r="M158" i="1"/>
  <c r="M162" i="1"/>
  <c r="M166" i="1"/>
  <c r="M170" i="1"/>
  <c r="M174" i="1"/>
  <c r="M178" i="1"/>
  <c r="M182" i="1"/>
  <c r="M157" i="1"/>
  <c r="M161" i="1"/>
  <c r="M165" i="1"/>
  <c r="M169" i="1"/>
  <c r="M173" i="1"/>
  <c r="M164" i="1"/>
  <c r="M183" i="1"/>
  <c r="M184" i="1"/>
  <c r="M185" i="1"/>
  <c r="M187" i="1"/>
  <c r="M191" i="1"/>
  <c r="M179" i="1"/>
  <c r="M180" i="1"/>
  <c r="M181" i="1"/>
  <c r="M192" i="1"/>
  <c r="M160" i="1"/>
  <c r="M186" i="1"/>
  <c r="M190" i="1"/>
  <c r="M168" i="1"/>
  <c r="M156" i="1"/>
  <c r="M172" i="1"/>
  <c r="M176" i="1"/>
  <c r="M177" i="1"/>
  <c r="M189" i="1"/>
  <c r="M188" i="1"/>
  <c r="M108" i="1"/>
  <c r="M109" i="1"/>
  <c r="M113" i="1"/>
  <c r="M117" i="1"/>
  <c r="M127" i="1"/>
  <c r="M114" i="1"/>
  <c r="M118" i="1"/>
  <c r="M112" i="1"/>
  <c r="M116" i="1"/>
  <c r="M124" i="1"/>
  <c r="M111" i="1"/>
  <c r="M115" i="1"/>
  <c r="M119" i="1"/>
  <c r="M110" i="1"/>
  <c r="M80" i="1"/>
  <c r="M81" i="1"/>
  <c r="M49" i="1"/>
  <c r="M50" i="1"/>
  <c r="M48" i="1"/>
  <c r="M38" i="1"/>
  <c r="M43" i="1"/>
  <c r="M39" i="1"/>
  <c r="M19" i="1"/>
  <c r="M14" i="1"/>
  <c r="M22" i="1"/>
  <c r="M42" i="1"/>
  <c r="M15" i="1"/>
  <c r="M23" i="1"/>
  <c r="M31" i="1"/>
  <c r="M8" i="1"/>
  <c r="M16" i="1"/>
  <c r="M24" i="1"/>
  <c r="M32" i="1"/>
  <c r="M9" i="1"/>
  <c r="M17" i="1"/>
  <c r="M25" i="1"/>
  <c r="M33" i="1"/>
  <c r="M44" i="1"/>
  <c r="M35" i="1"/>
  <c r="M20" i="1"/>
  <c r="M10" i="1"/>
  <c r="M18" i="1"/>
  <c r="M26" i="1"/>
  <c r="M34" i="1"/>
  <c r="M27" i="1"/>
  <c r="M12" i="1"/>
  <c r="M36" i="1"/>
  <c r="M11" i="1"/>
  <c r="M28" i="1"/>
  <c r="M13" i="1"/>
  <c r="M21" i="1"/>
  <c r="M29" i="1"/>
  <c r="M37" i="1"/>
  <c r="M30" i="1"/>
  <c r="O3" i="1"/>
  <c r="P1" i="1" s="1"/>
  <c r="N2" i="1"/>
  <c r="N198" i="1" s="1"/>
  <c r="N196" i="1" l="1"/>
  <c r="N197" i="1"/>
  <c r="N194" i="1"/>
  <c r="N195" i="1"/>
  <c r="N144" i="1"/>
  <c r="N145" i="1"/>
  <c r="N143" i="1"/>
  <c r="N193" i="1"/>
  <c r="N141" i="1"/>
  <c r="N142" i="1"/>
  <c r="N139" i="1"/>
  <c r="N140" i="1"/>
  <c r="N223" i="1"/>
  <c r="N224" i="1"/>
  <c r="N93" i="1"/>
  <c r="N101" i="1"/>
  <c r="N100" i="1"/>
  <c r="N94" i="1"/>
  <c r="N97" i="1"/>
  <c r="N95" i="1"/>
  <c r="N102" i="1"/>
  <c r="N103" i="1"/>
  <c r="N99" i="1"/>
  <c r="N96" i="1"/>
  <c r="N92" i="1"/>
  <c r="N98" i="1"/>
  <c r="N90" i="1"/>
  <c r="N91" i="1"/>
  <c r="N136" i="1"/>
  <c r="N137" i="1"/>
  <c r="N252" i="1"/>
  <c r="N138" i="1"/>
  <c r="N82" i="1"/>
  <c r="N222" i="1"/>
  <c r="N218" i="1"/>
  <c r="N220" i="1"/>
  <c r="N219" i="1"/>
  <c r="N217" i="1"/>
  <c r="N221" i="1"/>
  <c r="N216" i="1"/>
  <c r="N89" i="1"/>
  <c r="I226" i="1"/>
  <c r="N251" i="1"/>
  <c r="N215" i="1"/>
  <c r="N214" i="1"/>
  <c r="N135" i="1"/>
  <c r="N134" i="1"/>
  <c r="N212" i="1"/>
  <c r="N213" i="1"/>
  <c r="N210" i="1"/>
  <c r="N211" i="1"/>
  <c r="N208" i="1"/>
  <c r="N209" i="1"/>
  <c r="N207" i="1"/>
  <c r="N88" i="1"/>
  <c r="N133" i="1"/>
  <c r="N131" i="1"/>
  <c r="N132" i="1"/>
  <c r="N129" i="1"/>
  <c r="N130" i="1"/>
  <c r="N126" i="1"/>
  <c r="N128" i="1"/>
  <c r="N123" i="1"/>
  <c r="N125" i="1"/>
  <c r="N121" i="1"/>
  <c r="N122" i="1"/>
  <c r="N87" i="1"/>
  <c r="N120" i="1"/>
  <c r="N86" i="1"/>
  <c r="N250" i="1"/>
  <c r="N249" i="1"/>
  <c r="N85" i="1"/>
  <c r="N247" i="1"/>
  <c r="N248" i="1"/>
  <c r="N246" i="1"/>
  <c r="N84" i="1"/>
  <c r="N243" i="1"/>
  <c r="N245" i="1"/>
  <c r="N244" i="1"/>
  <c r="N242" i="1"/>
  <c r="N261" i="1"/>
  <c r="N83" i="1"/>
  <c r="N240" i="1"/>
  <c r="N239" i="1"/>
  <c r="N241" i="1"/>
  <c r="N7" i="1"/>
  <c r="N238" i="1"/>
  <c r="N75" i="1"/>
  <c r="N5" i="1"/>
  <c r="N6" i="1"/>
  <c r="N51" i="1"/>
  <c r="N60" i="1"/>
  <c r="N54" i="1"/>
  <c r="N61" i="1"/>
  <c r="N59" i="1"/>
  <c r="N55" i="1"/>
  <c r="N62" i="1"/>
  <c r="N53" i="1"/>
  <c r="N58" i="1"/>
  <c r="N56" i="1"/>
  <c r="N57" i="1"/>
  <c r="N63" i="1"/>
  <c r="N199" i="1"/>
  <c r="N229" i="1"/>
  <c r="N231" i="1"/>
  <c r="N235" i="1"/>
  <c r="N230" i="1"/>
  <c r="N234" i="1"/>
  <c r="N232" i="1"/>
  <c r="N236" i="1"/>
  <c r="N233" i="1"/>
  <c r="N237" i="1"/>
  <c r="N203" i="1"/>
  <c r="N205" i="1"/>
  <c r="N204" i="1"/>
  <c r="N206" i="1"/>
  <c r="N154" i="1"/>
  <c r="N156" i="1"/>
  <c r="N160" i="1"/>
  <c r="N164" i="1"/>
  <c r="N168" i="1"/>
  <c r="N172" i="1"/>
  <c r="N155" i="1"/>
  <c r="N159" i="1"/>
  <c r="N163" i="1"/>
  <c r="N167" i="1"/>
  <c r="N171" i="1"/>
  <c r="N175" i="1"/>
  <c r="N179" i="1"/>
  <c r="N183" i="1"/>
  <c r="N158" i="1"/>
  <c r="N162" i="1"/>
  <c r="N166" i="1"/>
  <c r="N170" i="1"/>
  <c r="N174" i="1"/>
  <c r="N161" i="1"/>
  <c r="N180" i="1"/>
  <c r="N181" i="1"/>
  <c r="N182" i="1"/>
  <c r="N188" i="1"/>
  <c r="N192" i="1"/>
  <c r="N176" i="1"/>
  <c r="N189" i="1"/>
  <c r="N157" i="1"/>
  <c r="N173" i="1"/>
  <c r="N184" i="1"/>
  <c r="N185" i="1"/>
  <c r="N187" i="1"/>
  <c r="N191" i="1"/>
  <c r="N165" i="1"/>
  <c r="N177" i="1"/>
  <c r="N169" i="1"/>
  <c r="N186" i="1"/>
  <c r="N190" i="1"/>
  <c r="N178" i="1"/>
  <c r="N108" i="1"/>
  <c r="N110" i="1"/>
  <c r="N114" i="1"/>
  <c r="N118" i="1"/>
  <c r="N111" i="1"/>
  <c r="N115" i="1"/>
  <c r="N119" i="1"/>
  <c r="N109" i="1"/>
  <c r="N113" i="1"/>
  <c r="N117" i="1"/>
  <c r="N127" i="1"/>
  <c r="N112" i="1"/>
  <c r="N116" i="1"/>
  <c r="N124" i="1"/>
  <c r="N81" i="1"/>
  <c r="N80" i="1"/>
  <c r="N50" i="1"/>
  <c r="N49" i="1"/>
  <c r="N48" i="1"/>
  <c r="M151" i="1"/>
  <c r="G20" i="8" s="1"/>
  <c r="M262" i="1"/>
  <c r="J20" i="8" s="1"/>
  <c r="M226" i="1"/>
  <c r="I20" i="8" s="1"/>
  <c r="M105" i="1"/>
  <c r="N38" i="1"/>
  <c r="N43" i="1"/>
  <c r="N39" i="1"/>
  <c r="N19" i="1"/>
  <c r="N10" i="1"/>
  <c r="N14" i="1"/>
  <c r="N18" i="1"/>
  <c r="N22" i="1"/>
  <c r="N26" i="1"/>
  <c r="N30" i="1"/>
  <c r="N34" i="1"/>
  <c r="N11" i="1"/>
  <c r="N15" i="1"/>
  <c r="N23" i="1"/>
  <c r="N27" i="1"/>
  <c r="N31" i="1"/>
  <c r="N35" i="1"/>
  <c r="N42" i="1"/>
  <c r="N29" i="1"/>
  <c r="N8" i="1"/>
  <c r="N12" i="1"/>
  <c r="N16" i="1"/>
  <c r="N20" i="1"/>
  <c r="N24" i="1"/>
  <c r="N28" i="1"/>
  <c r="N32" i="1"/>
  <c r="N36" i="1"/>
  <c r="N13" i="1"/>
  <c r="N17" i="1"/>
  <c r="N21" i="1"/>
  <c r="N9" i="1"/>
  <c r="N25" i="1"/>
  <c r="N33" i="1"/>
  <c r="N37" i="1"/>
  <c r="N44" i="1"/>
  <c r="M200" i="1"/>
  <c r="H20" i="8" s="1"/>
  <c r="P3" i="1"/>
  <c r="O2" i="1"/>
  <c r="O198" i="1" s="1"/>
  <c r="M45" i="1"/>
  <c r="Q1" i="1" l="1"/>
  <c r="O196" i="1"/>
  <c r="O197" i="1"/>
  <c r="O194" i="1"/>
  <c r="O195" i="1"/>
  <c r="O144" i="1"/>
  <c r="O145" i="1"/>
  <c r="O143" i="1"/>
  <c r="O193" i="1"/>
  <c r="O141" i="1"/>
  <c r="O142" i="1"/>
  <c r="O139" i="1"/>
  <c r="O140" i="1"/>
  <c r="O223" i="1"/>
  <c r="O224" i="1"/>
  <c r="O94" i="1"/>
  <c r="O99" i="1"/>
  <c r="O101" i="1"/>
  <c r="O98" i="1"/>
  <c r="O92" i="1"/>
  <c r="O102" i="1"/>
  <c r="O95" i="1"/>
  <c r="O100" i="1"/>
  <c r="O96" i="1"/>
  <c r="O103" i="1"/>
  <c r="O93" i="1"/>
  <c r="O97" i="1"/>
  <c r="O90" i="1"/>
  <c r="O91" i="1"/>
  <c r="O136" i="1"/>
  <c r="O137" i="1"/>
  <c r="O252" i="1"/>
  <c r="O138" i="1"/>
  <c r="D8" i="8"/>
  <c r="I19" i="8" s="1"/>
  <c r="O82" i="1"/>
  <c r="L226" i="1"/>
  <c r="E8" i="8" s="1"/>
  <c r="O222" i="1"/>
  <c r="O219" i="1"/>
  <c r="O217" i="1"/>
  <c r="O221" i="1"/>
  <c r="O220" i="1"/>
  <c r="O218" i="1"/>
  <c r="O216" i="1"/>
  <c r="O89" i="1"/>
  <c r="O251" i="1"/>
  <c r="O215" i="1"/>
  <c r="O214" i="1"/>
  <c r="O135" i="1"/>
  <c r="O134" i="1"/>
  <c r="O212" i="1"/>
  <c r="O213" i="1"/>
  <c r="O210" i="1"/>
  <c r="O211" i="1"/>
  <c r="O208" i="1"/>
  <c r="O209" i="1"/>
  <c r="O207" i="1"/>
  <c r="O88" i="1"/>
  <c r="O133" i="1"/>
  <c r="O131" i="1"/>
  <c r="O132" i="1"/>
  <c r="O129" i="1"/>
  <c r="O130" i="1"/>
  <c r="O126" i="1"/>
  <c r="O128" i="1"/>
  <c r="O123" i="1"/>
  <c r="O125" i="1"/>
  <c r="O121" i="1"/>
  <c r="O122" i="1"/>
  <c r="O87" i="1"/>
  <c r="O120" i="1"/>
  <c r="O86" i="1"/>
  <c r="O250" i="1"/>
  <c r="O249" i="1"/>
  <c r="O85" i="1"/>
  <c r="O247" i="1"/>
  <c r="O248" i="1"/>
  <c r="O246" i="1"/>
  <c r="O84" i="1"/>
  <c r="O243" i="1"/>
  <c r="O245" i="1"/>
  <c r="O244" i="1"/>
  <c r="O242" i="1"/>
  <c r="O261" i="1"/>
  <c r="O83" i="1"/>
  <c r="O240" i="1"/>
  <c r="O241" i="1"/>
  <c r="O239" i="1"/>
  <c r="O7" i="1"/>
  <c r="O238" i="1"/>
  <c r="O75" i="1"/>
  <c r="O6" i="1"/>
  <c r="O5" i="1"/>
  <c r="O51" i="1"/>
  <c r="O54" i="1"/>
  <c r="O61" i="1"/>
  <c r="O62" i="1"/>
  <c r="O53" i="1"/>
  <c r="O55" i="1"/>
  <c r="O57" i="1"/>
  <c r="O56" i="1"/>
  <c r="O60" i="1"/>
  <c r="O58" i="1"/>
  <c r="O59" i="1"/>
  <c r="O63" i="1"/>
  <c r="O199" i="1"/>
  <c r="O229" i="1"/>
  <c r="O232" i="1"/>
  <c r="O236" i="1"/>
  <c r="O231" i="1"/>
  <c r="O235" i="1"/>
  <c r="O237" i="1"/>
  <c r="O230" i="1"/>
  <c r="O234" i="1"/>
  <c r="O233" i="1"/>
  <c r="O203" i="1"/>
  <c r="O206" i="1"/>
  <c r="O205" i="1"/>
  <c r="O204" i="1"/>
  <c r="O154" i="1"/>
  <c r="O157" i="1"/>
  <c r="O161" i="1"/>
  <c r="O165" i="1"/>
  <c r="O169" i="1"/>
  <c r="O173" i="1"/>
  <c r="O156" i="1"/>
  <c r="O160" i="1"/>
  <c r="O164" i="1"/>
  <c r="O168" i="1"/>
  <c r="O172" i="1"/>
  <c r="O176" i="1"/>
  <c r="O180" i="1"/>
  <c r="O184" i="1"/>
  <c r="O155" i="1"/>
  <c r="O159" i="1"/>
  <c r="O163" i="1"/>
  <c r="O167" i="1"/>
  <c r="O171" i="1"/>
  <c r="O158" i="1"/>
  <c r="O174" i="1"/>
  <c r="O177" i="1"/>
  <c r="O178" i="1"/>
  <c r="O179" i="1"/>
  <c r="O189" i="1"/>
  <c r="O192" i="1"/>
  <c r="O186" i="1"/>
  <c r="O170" i="1"/>
  <c r="O181" i="1"/>
  <c r="O182" i="1"/>
  <c r="O183" i="1"/>
  <c r="O188" i="1"/>
  <c r="O175" i="1"/>
  <c r="O190" i="1"/>
  <c r="O166" i="1"/>
  <c r="O185" i="1"/>
  <c r="O187" i="1"/>
  <c r="O191" i="1"/>
  <c r="O162" i="1"/>
  <c r="O108" i="1"/>
  <c r="O111" i="1"/>
  <c r="O115" i="1"/>
  <c r="O119" i="1"/>
  <c r="O127" i="1"/>
  <c r="O116" i="1"/>
  <c r="O124" i="1"/>
  <c r="O110" i="1"/>
  <c r="O114" i="1"/>
  <c r="O118" i="1"/>
  <c r="O109" i="1"/>
  <c r="O113" i="1"/>
  <c r="O117" i="1"/>
  <c r="O112" i="1"/>
  <c r="O81" i="1"/>
  <c r="O80" i="1"/>
  <c r="O48" i="1"/>
  <c r="O50" i="1"/>
  <c r="O49" i="1"/>
  <c r="N151" i="1"/>
  <c r="G21" i="8" s="1"/>
  <c r="N262" i="1"/>
  <c r="J21" i="8" s="1"/>
  <c r="N226" i="1"/>
  <c r="I21" i="8" s="1"/>
  <c r="F20" i="8"/>
  <c r="N105" i="1"/>
  <c r="O43" i="1"/>
  <c r="O38" i="1"/>
  <c r="O39" i="1"/>
  <c r="O19" i="1"/>
  <c r="O10" i="1"/>
  <c r="O14" i="1"/>
  <c r="O18" i="1"/>
  <c r="O22" i="1"/>
  <c r="O26" i="1"/>
  <c r="O30" i="1"/>
  <c r="O34" i="1"/>
  <c r="O11" i="1"/>
  <c r="O15" i="1"/>
  <c r="O23" i="1"/>
  <c r="O27" i="1"/>
  <c r="O31" i="1"/>
  <c r="O35" i="1"/>
  <c r="O42" i="1"/>
  <c r="O8" i="1"/>
  <c r="O12" i="1"/>
  <c r="O16" i="1"/>
  <c r="O20" i="1"/>
  <c r="O24" i="1"/>
  <c r="O28" i="1"/>
  <c r="O32" i="1"/>
  <c r="O36" i="1"/>
  <c r="O9" i="1"/>
  <c r="O13" i="1"/>
  <c r="O17" i="1"/>
  <c r="O21" i="1"/>
  <c r="O25" i="1"/>
  <c r="O29" i="1"/>
  <c r="O33" i="1"/>
  <c r="O37" i="1"/>
  <c r="O44" i="1"/>
  <c r="N200" i="1"/>
  <c r="H21" i="8" s="1"/>
  <c r="N45" i="1"/>
  <c r="D20" i="8"/>
  <c r="Q3" i="1"/>
  <c r="R1" i="1" s="1"/>
  <c r="P2" i="1"/>
  <c r="P198" i="1" s="1"/>
  <c r="F21" i="8" l="1"/>
  <c r="P196" i="1"/>
  <c r="P197" i="1"/>
  <c r="P194" i="1"/>
  <c r="P195" i="1"/>
  <c r="P144" i="1"/>
  <c r="P145" i="1"/>
  <c r="P143" i="1"/>
  <c r="P193" i="1"/>
  <c r="P141" i="1"/>
  <c r="P142" i="1"/>
  <c r="P139" i="1"/>
  <c r="P140" i="1"/>
  <c r="P223" i="1"/>
  <c r="P224" i="1"/>
  <c r="P97" i="1"/>
  <c r="P94" i="1"/>
  <c r="P100" i="1"/>
  <c r="P92" i="1"/>
  <c r="P93" i="1"/>
  <c r="P101" i="1"/>
  <c r="P98" i="1"/>
  <c r="P95" i="1"/>
  <c r="P103" i="1"/>
  <c r="P99" i="1"/>
  <c r="P96" i="1"/>
  <c r="P102" i="1"/>
  <c r="P90" i="1"/>
  <c r="P91" i="1"/>
  <c r="P136" i="1"/>
  <c r="P137" i="1"/>
  <c r="P252" i="1"/>
  <c r="P138" i="1"/>
  <c r="P82" i="1"/>
  <c r="P217" i="1"/>
  <c r="P222" i="1"/>
  <c r="P218" i="1"/>
  <c r="P219" i="1"/>
  <c r="P221" i="1"/>
  <c r="P220" i="1"/>
  <c r="P216" i="1"/>
  <c r="P89" i="1"/>
  <c r="P251" i="1"/>
  <c r="P215" i="1"/>
  <c r="P214" i="1"/>
  <c r="P135" i="1"/>
  <c r="P134" i="1"/>
  <c r="P212" i="1"/>
  <c r="P213" i="1"/>
  <c r="P210" i="1"/>
  <c r="P211" i="1"/>
  <c r="P208" i="1"/>
  <c r="P209" i="1"/>
  <c r="P207" i="1"/>
  <c r="P88" i="1"/>
  <c r="P133" i="1"/>
  <c r="P131" i="1"/>
  <c r="P132" i="1"/>
  <c r="P129" i="1"/>
  <c r="P130" i="1"/>
  <c r="P126" i="1"/>
  <c r="P128" i="1"/>
  <c r="P123" i="1"/>
  <c r="P125" i="1"/>
  <c r="P121" i="1"/>
  <c r="P122" i="1"/>
  <c r="P87" i="1"/>
  <c r="P120" i="1"/>
  <c r="P86" i="1"/>
  <c r="P250" i="1"/>
  <c r="P249" i="1"/>
  <c r="P85" i="1"/>
  <c r="P247" i="1"/>
  <c r="P248" i="1"/>
  <c r="P246" i="1"/>
  <c r="P84" i="1"/>
  <c r="P243" i="1"/>
  <c r="P245" i="1"/>
  <c r="P244" i="1"/>
  <c r="P242" i="1"/>
  <c r="P261" i="1"/>
  <c r="P83" i="1"/>
  <c r="P241" i="1"/>
  <c r="P239" i="1"/>
  <c r="P240" i="1"/>
  <c r="P7" i="1"/>
  <c r="P238" i="1"/>
  <c r="P75" i="1"/>
  <c r="P6" i="1"/>
  <c r="P5" i="1"/>
  <c r="P51" i="1"/>
  <c r="P53" i="1"/>
  <c r="P54" i="1"/>
  <c r="P60" i="1"/>
  <c r="P57" i="1"/>
  <c r="P61" i="1"/>
  <c r="P56" i="1"/>
  <c r="P55" i="1"/>
  <c r="P62" i="1"/>
  <c r="P59" i="1"/>
  <c r="P58" i="1"/>
  <c r="P63" i="1"/>
  <c r="P199" i="1"/>
  <c r="P229" i="1"/>
  <c r="P233" i="1"/>
  <c r="P237" i="1"/>
  <c r="P230" i="1"/>
  <c r="P232" i="1"/>
  <c r="P236" i="1"/>
  <c r="P234" i="1"/>
  <c r="P231" i="1"/>
  <c r="P235" i="1"/>
  <c r="P203" i="1"/>
  <c r="P206" i="1"/>
  <c r="P204" i="1"/>
  <c r="P205" i="1"/>
  <c r="P154" i="1"/>
  <c r="P158" i="1"/>
  <c r="P162" i="1"/>
  <c r="P166" i="1"/>
  <c r="P170" i="1"/>
  <c r="P174" i="1"/>
  <c r="P157" i="1"/>
  <c r="P161" i="1"/>
  <c r="P165" i="1"/>
  <c r="P169" i="1"/>
  <c r="P173" i="1"/>
  <c r="P177" i="1"/>
  <c r="P181" i="1"/>
  <c r="P185" i="1"/>
  <c r="P156" i="1"/>
  <c r="P160" i="1"/>
  <c r="P164" i="1"/>
  <c r="P168" i="1"/>
  <c r="P172" i="1"/>
  <c r="P155" i="1"/>
  <c r="P171" i="1"/>
  <c r="P175" i="1"/>
  <c r="P176" i="1"/>
  <c r="P186" i="1"/>
  <c r="P190" i="1"/>
  <c r="P159" i="1"/>
  <c r="P187" i="1"/>
  <c r="P167" i="1"/>
  <c r="P178" i="1"/>
  <c r="P179" i="1"/>
  <c r="P180" i="1"/>
  <c r="P189" i="1"/>
  <c r="P191" i="1"/>
  <c r="P163" i="1"/>
  <c r="P182" i="1"/>
  <c r="P183" i="1"/>
  <c r="P184" i="1"/>
  <c r="P188" i="1"/>
  <c r="P192" i="1"/>
  <c r="P108" i="1"/>
  <c r="P112" i="1"/>
  <c r="P116" i="1"/>
  <c r="P124" i="1"/>
  <c r="P111" i="1"/>
  <c r="P115" i="1"/>
  <c r="P119" i="1"/>
  <c r="P127" i="1"/>
  <c r="P109" i="1"/>
  <c r="P113" i="1"/>
  <c r="P117" i="1"/>
  <c r="P110" i="1"/>
  <c r="P114" i="1"/>
  <c r="P118" i="1"/>
  <c r="P80" i="1"/>
  <c r="P81" i="1"/>
  <c r="P50" i="1"/>
  <c r="P49" i="1"/>
  <c r="P48" i="1"/>
  <c r="O151" i="1"/>
  <c r="G22" i="8" s="1"/>
  <c r="O262" i="1"/>
  <c r="J22" i="8" s="1"/>
  <c r="O226" i="1"/>
  <c r="I22" i="8" s="1"/>
  <c r="O105" i="1"/>
  <c r="P38" i="1"/>
  <c r="P43" i="1"/>
  <c r="P39" i="1"/>
  <c r="P19" i="1"/>
  <c r="P9" i="1"/>
  <c r="P13" i="1"/>
  <c r="P17" i="1"/>
  <c r="P21" i="1"/>
  <c r="P25" i="1"/>
  <c r="P29" i="1"/>
  <c r="P33" i="1"/>
  <c r="P37" i="1"/>
  <c r="P24" i="1"/>
  <c r="P10" i="1"/>
  <c r="P14" i="1"/>
  <c r="P18" i="1"/>
  <c r="P22" i="1"/>
  <c r="P26" i="1"/>
  <c r="P30" i="1"/>
  <c r="P34" i="1"/>
  <c r="P42" i="1"/>
  <c r="P8" i="1"/>
  <c r="P16" i="1"/>
  <c r="P11" i="1"/>
  <c r="P15" i="1"/>
  <c r="P23" i="1"/>
  <c r="P27" i="1"/>
  <c r="P31" i="1"/>
  <c r="P35" i="1"/>
  <c r="P12" i="1"/>
  <c r="P20" i="1"/>
  <c r="P44" i="1"/>
  <c r="P36" i="1"/>
  <c r="P28" i="1"/>
  <c r="P32" i="1"/>
  <c r="O200" i="1"/>
  <c r="H22" i="8" s="1"/>
  <c r="D21" i="8"/>
  <c r="Q2" i="1"/>
  <c r="Q198" i="1" s="1"/>
  <c r="R3" i="1"/>
  <c r="S1" i="1" s="1"/>
  <c r="O45" i="1"/>
  <c r="Q196" i="1" l="1"/>
  <c r="Q197" i="1"/>
  <c r="Q194" i="1"/>
  <c r="Q195" i="1"/>
  <c r="Q144" i="1"/>
  <c r="Q145" i="1"/>
  <c r="Q143" i="1"/>
  <c r="Q193" i="1"/>
  <c r="Q141" i="1"/>
  <c r="Q142" i="1"/>
  <c r="Q139" i="1"/>
  <c r="Q140" i="1"/>
  <c r="Q223" i="1"/>
  <c r="Q224" i="1"/>
  <c r="Q100" i="1"/>
  <c r="Q96" i="1"/>
  <c r="Q92" i="1"/>
  <c r="Q101" i="1"/>
  <c r="Q97" i="1"/>
  <c r="Q93" i="1"/>
  <c r="Q103" i="1"/>
  <c r="Q99" i="1"/>
  <c r="Q95" i="1"/>
  <c r="Q102" i="1"/>
  <c r="Q98" i="1"/>
  <c r="Q94" i="1"/>
  <c r="Q90" i="1"/>
  <c r="Q91" i="1"/>
  <c r="Q136" i="1"/>
  <c r="Q137" i="1"/>
  <c r="Q252" i="1"/>
  <c r="Q138" i="1"/>
  <c r="Q82" i="1"/>
  <c r="Q218" i="1"/>
  <c r="Q219" i="1"/>
  <c r="Q220" i="1"/>
  <c r="Q217" i="1"/>
  <c r="Q222" i="1"/>
  <c r="Q221" i="1"/>
  <c r="Q216" i="1"/>
  <c r="Q89" i="1"/>
  <c r="Q251" i="1"/>
  <c r="Q215" i="1"/>
  <c r="Q214" i="1"/>
  <c r="Q135" i="1"/>
  <c r="Q134" i="1"/>
  <c r="Q212" i="1"/>
  <c r="Q213" i="1"/>
  <c r="Q210" i="1"/>
  <c r="Q211" i="1"/>
  <c r="Q208" i="1"/>
  <c r="Q209" i="1"/>
  <c r="Q207" i="1"/>
  <c r="Q88" i="1"/>
  <c r="Q133" i="1"/>
  <c r="Q131" i="1"/>
  <c r="Q132" i="1"/>
  <c r="Q129" i="1"/>
  <c r="Q130" i="1"/>
  <c r="Q126" i="1"/>
  <c r="Q128" i="1"/>
  <c r="Q123" i="1"/>
  <c r="Q125" i="1"/>
  <c r="Q121" i="1"/>
  <c r="Q122" i="1"/>
  <c r="Q87" i="1"/>
  <c r="Q120" i="1"/>
  <c r="Q86" i="1"/>
  <c r="Q250" i="1"/>
  <c r="Q249" i="1"/>
  <c r="Q85" i="1"/>
  <c r="Q247" i="1"/>
  <c r="Q248" i="1"/>
  <c r="Q246" i="1"/>
  <c r="Q84" i="1"/>
  <c r="Q243" i="1"/>
  <c r="Q245" i="1"/>
  <c r="Q244" i="1"/>
  <c r="Q242" i="1"/>
  <c r="Q261" i="1"/>
  <c r="Q83" i="1"/>
  <c r="Q239" i="1"/>
  <c r="Q240" i="1"/>
  <c r="Q241" i="1"/>
  <c r="Q7" i="1"/>
  <c r="Q238" i="1"/>
  <c r="Q75" i="1"/>
  <c r="Q6" i="1"/>
  <c r="Q5" i="1"/>
  <c r="Q51" i="1"/>
  <c r="Q62" i="1"/>
  <c r="Q58" i="1"/>
  <c r="Q54" i="1"/>
  <c r="Q61" i="1"/>
  <c r="Q59" i="1"/>
  <c r="Q55" i="1"/>
  <c r="Q57" i="1"/>
  <c r="Q53" i="1"/>
  <c r="Q60" i="1"/>
  <c r="Q56" i="1"/>
  <c r="Q63" i="1"/>
  <c r="Q199" i="1"/>
  <c r="Q229" i="1"/>
  <c r="Q230" i="1"/>
  <c r="Q234" i="1"/>
  <c r="Q233" i="1"/>
  <c r="Q237" i="1"/>
  <c r="Q231" i="1"/>
  <c r="Q235" i="1"/>
  <c r="Q232" i="1"/>
  <c r="Q236" i="1"/>
  <c r="Q203" i="1"/>
  <c r="Q204" i="1"/>
  <c r="Q205" i="1"/>
  <c r="Q206" i="1"/>
  <c r="Q154" i="1"/>
  <c r="Q155" i="1"/>
  <c r="Q159" i="1"/>
  <c r="Q163" i="1"/>
  <c r="Q167" i="1"/>
  <c r="Q171" i="1"/>
  <c r="Q158" i="1"/>
  <c r="Q162" i="1"/>
  <c r="Q166" i="1"/>
  <c r="Q170" i="1"/>
  <c r="Q174" i="1"/>
  <c r="Q178" i="1"/>
  <c r="Q182" i="1"/>
  <c r="Q157" i="1"/>
  <c r="Q161" i="1"/>
  <c r="Q165" i="1"/>
  <c r="Q169" i="1"/>
  <c r="Q173" i="1"/>
  <c r="Q168" i="1"/>
  <c r="Q187" i="1"/>
  <c r="Q191" i="1"/>
  <c r="Q156" i="1"/>
  <c r="Q184" i="1"/>
  <c r="Q188" i="1"/>
  <c r="Q164" i="1"/>
  <c r="Q175" i="1"/>
  <c r="Q176" i="1"/>
  <c r="Q177" i="1"/>
  <c r="Q186" i="1"/>
  <c r="Q190" i="1"/>
  <c r="Q172" i="1"/>
  <c r="Q185" i="1"/>
  <c r="Q160" i="1"/>
  <c r="Q179" i="1"/>
  <c r="Q180" i="1"/>
  <c r="Q181" i="1"/>
  <c r="Q189" i="1"/>
  <c r="Q183" i="1"/>
  <c r="Q192" i="1"/>
  <c r="Q108" i="1"/>
  <c r="Q109" i="1"/>
  <c r="Q113" i="1"/>
  <c r="Q117" i="1"/>
  <c r="Q110" i="1"/>
  <c r="Q112" i="1"/>
  <c r="Q116" i="1"/>
  <c r="Q124" i="1"/>
  <c r="Q127" i="1"/>
  <c r="Q118" i="1"/>
  <c r="Q111" i="1"/>
  <c r="Q115" i="1"/>
  <c r="Q119" i="1"/>
  <c r="Q114" i="1"/>
  <c r="Q80" i="1"/>
  <c r="Q81" i="1"/>
  <c r="Q49" i="1"/>
  <c r="Q50" i="1"/>
  <c r="Q48" i="1"/>
  <c r="P151" i="1"/>
  <c r="G23" i="8" s="1"/>
  <c r="P262" i="1"/>
  <c r="J23" i="8" s="1"/>
  <c r="P226" i="1"/>
  <c r="I23" i="8" s="1"/>
  <c r="F22" i="8"/>
  <c r="P105" i="1"/>
  <c r="Q38" i="1"/>
  <c r="Q43" i="1"/>
  <c r="Q39" i="1"/>
  <c r="Q19" i="1"/>
  <c r="Q44" i="1"/>
  <c r="Q9" i="1"/>
  <c r="Q13" i="1"/>
  <c r="Q17" i="1"/>
  <c r="Q21" i="1"/>
  <c r="Q25" i="1"/>
  <c r="Q29" i="1"/>
  <c r="Q33" i="1"/>
  <c r="Q37" i="1"/>
  <c r="Q10" i="1"/>
  <c r="Q14" i="1"/>
  <c r="Q18" i="1"/>
  <c r="Q22" i="1"/>
  <c r="Q26" i="1"/>
  <c r="Q30" i="1"/>
  <c r="Q34" i="1"/>
  <c r="Q42" i="1"/>
  <c r="Q11" i="1"/>
  <c r="Q15" i="1"/>
  <c r="Q23" i="1"/>
  <c r="Q27" i="1"/>
  <c r="Q31" i="1"/>
  <c r="Q35" i="1"/>
  <c r="Q8" i="1"/>
  <c r="Q12" i="1"/>
  <c r="Q16" i="1"/>
  <c r="Q20" i="1"/>
  <c r="Q24" i="1"/>
  <c r="Q28" i="1"/>
  <c r="Q32" i="1"/>
  <c r="Q36" i="1"/>
  <c r="P200" i="1"/>
  <c r="H23" i="8" s="1"/>
  <c r="R2" i="1"/>
  <c r="R198" i="1" s="1"/>
  <c r="S3" i="1"/>
  <c r="T1" i="1" s="1"/>
  <c r="P45" i="1"/>
  <c r="D22" i="8"/>
  <c r="F23" i="8" l="1"/>
  <c r="R196" i="1"/>
  <c r="R197" i="1"/>
  <c r="R194" i="1"/>
  <c r="R195" i="1"/>
  <c r="R144" i="1"/>
  <c r="R145" i="1"/>
  <c r="R143" i="1"/>
  <c r="R193" i="1"/>
  <c r="R141" i="1"/>
  <c r="R142" i="1"/>
  <c r="R139" i="1"/>
  <c r="R140" i="1"/>
  <c r="R223" i="1"/>
  <c r="R224" i="1"/>
  <c r="R99" i="1"/>
  <c r="R94" i="1"/>
  <c r="R97" i="1"/>
  <c r="R101" i="1"/>
  <c r="R93" i="1"/>
  <c r="R95" i="1"/>
  <c r="R102" i="1"/>
  <c r="R100" i="1"/>
  <c r="R103" i="1"/>
  <c r="R96" i="1"/>
  <c r="R92" i="1"/>
  <c r="R98" i="1"/>
  <c r="R90" i="1"/>
  <c r="R91" i="1"/>
  <c r="R136" i="1"/>
  <c r="R137" i="1"/>
  <c r="R252" i="1"/>
  <c r="R138" i="1"/>
  <c r="R82" i="1"/>
  <c r="R222" i="1"/>
  <c r="R219" i="1"/>
  <c r="R221" i="1"/>
  <c r="R217" i="1"/>
  <c r="R218" i="1"/>
  <c r="R220" i="1"/>
  <c r="R216" i="1"/>
  <c r="R89" i="1"/>
  <c r="R251" i="1"/>
  <c r="R215" i="1"/>
  <c r="R214" i="1"/>
  <c r="R134" i="1"/>
  <c r="R135" i="1"/>
  <c r="R212" i="1"/>
  <c r="R213" i="1"/>
  <c r="R210" i="1"/>
  <c r="R211" i="1"/>
  <c r="R208" i="1"/>
  <c r="R209" i="1"/>
  <c r="R207" i="1"/>
  <c r="R88" i="1"/>
  <c r="R133" i="1"/>
  <c r="R131" i="1"/>
  <c r="R132" i="1"/>
  <c r="R129" i="1"/>
  <c r="R130" i="1"/>
  <c r="R126" i="1"/>
  <c r="R128" i="1"/>
  <c r="R123" i="1"/>
  <c r="R125" i="1"/>
  <c r="R121" i="1"/>
  <c r="R122" i="1"/>
  <c r="R87" i="1"/>
  <c r="R120" i="1"/>
  <c r="R86" i="1"/>
  <c r="R250" i="1"/>
  <c r="R249" i="1"/>
  <c r="R85" i="1"/>
  <c r="R247" i="1"/>
  <c r="R248" i="1"/>
  <c r="R246" i="1"/>
  <c r="R84" i="1"/>
  <c r="R243" i="1"/>
  <c r="R245" i="1"/>
  <c r="R244" i="1"/>
  <c r="R242" i="1"/>
  <c r="R261" i="1"/>
  <c r="R83" i="1"/>
  <c r="R240" i="1"/>
  <c r="R241" i="1"/>
  <c r="R239" i="1"/>
  <c r="R7" i="1"/>
  <c r="R238" i="1"/>
  <c r="R75" i="1"/>
  <c r="R6" i="1"/>
  <c r="R5" i="1"/>
  <c r="R51" i="1"/>
  <c r="R55" i="1"/>
  <c r="R54" i="1"/>
  <c r="R61" i="1"/>
  <c r="R58" i="1"/>
  <c r="R56" i="1"/>
  <c r="R57" i="1"/>
  <c r="R62" i="1"/>
  <c r="R59" i="1"/>
  <c r="R53" i="1"/>
  <c r="R60" i="1"/>
  <c r="R63" i="1"/>
  <c r="R199" i="1"/>
  <c r="R229" i="1"/>
  <c r="R231" i="1"/>
  <c r="R235" i="1"/>
  <c r="R236" i="1"/>
  <c r="R230" i="1"/>
  <c r="R234" i="1"/>
  <c r="R232" i="1"/>
  <c r="R233" i="1"/>
  <c r="R237" i="1"/>
  <c r="R203" i="1"/>
  <c r="R205" i="1"/>
  <c r="R204" i="1"/>
  <c r="R206" i="1"/>
  <c r="R154" i="1"/>
  <c r="R156" i="1"/>
  <c r="R160" i="1"/>
  <c r="R164" i="1"/>
  <c r="R168" i="1"/>
  <c r="R172" i="1"/>
  <c r="R155" i="1"/>
  <c r="R159" i="1"/>
  <c r="R163" i="1"/>
  <c r="R167" i="1"/>
  <c r="R171" i="1"/>
  <c r="R175" i="1"/>
  <c r="R179" i="1"/>
  <c r="R183" i="1"/>
  <c r="R158" i="1"/>
  <c r="R162" i="1"/>
  <c r="R166" i="1"/>
  <c r="R170" i="1"/>
  <c r="R174" i="1"/>
  <c r="R165" i="1"/>
  <c r="R184" i="1"/>
  <c r="R185" i="1"/>
  <c r="R188" i="1"/>
  <c r="R192" i="1"/>
  <c r="R191" i="1"/>
  <c r="R169" i="1"/>
  <c r="R182" i="1"/>
  <c r="R161" i="1"/>
  <c r="R187" i="1"/>
  <c r="R180" i="1"/>
  <c r="R157" i="1"/>
  <c r="R173" i="1"/>
  <c r="R176" i="1"/>
  <c r="R177" i="1"/>
  <c r="R178" i="1"/>
  <c r="R186" i="1"/>
  <c r="R190" i="1"/>
  <c r="R181" i="1"/>
  <c r="R189" i="1"/>
  <c r="R108" i="1"/>
  <c r="R110" i="1"/>
  <c r="R114" i="1"/>
  <c r="R118" i="1"/>
  <c r="R127" i="1"/>
  <c r="R109" i="1"/>
  <c r="R113" i="1"/>
  <c r="R117" i="1"/>
  <c r="R111" i="1"/>
  <c r="R112" i="1"/>
  <c r="R116" i="1"/>
  <c r="R124" i="1"/>
  <c r="R115" i="1"/>
  <c r="R119" i="1"/>
  <c r="R81" i="1"/>
  <c r="R80" i="1"/>
  <c r="R50" i="1"/>
  <c r="R49" i="1"/>
  <c r="R48" i="1"/>
  <c r="Q151" i="1"/>
  <c r="G24" i="8" s="1"/>
  <c r="Q262" i="1"/>
  <c r="J24" i="8" s="1"/>
  <c r="Q226" i="1"/>
  <c r="I24" i="8" s="1"/>
  <c r="Q105" i="1"/>
  <c r="R38" i="1"/>
  <c r="R43" i="1"/>
  <c r="R39" i="1"/>
  <c r="R19" i="1"/>
  <c r="R8" i="1"/>
  <c r="R12" i="1"/>
  <c r="R16" i="1"/>
  <c r="R20" i="1"/>
  <c r="R24" i="1"/>
  <c r="R28" i="1"/>
  <c r="R32" i="1"/>
  <c r="R36" i="1"/>
  <c r="R11" i="1"/>
  <c r="R27" i="1"/>
  <c r="R9" i="1"/>
  <c r="R13" i="1"/>
  <c r="R17" i="1"/>
  <c r="R21" i="1"/>
  <c r="R25" i="1"/>
  <c r="R29" i="1"/>
  <c r="R33" i="1"/>
  <c r="R37" i="1"/>
  <c r="R44" i="1"/>
  <c r="R23" i="1"/>
  <c r="R10" i="1"/>
  <c r="R14" i="1"/>
  <c r="R18" i="1"/>
  <c r="R22" i="1"/>
  <c r="R26" i="1"/>
  <c r="R30" i="1"/>
  <c r="R34" i="1"/>
  <c r="R15" i="1"/>
  <c r="R35" i="1"/>
  <c r="R31" i="1"/>
  <c r="R42" i="1"/>
  <c r="Q200" i="1"/>
  <c r="H24" i="8" s="1"/>
  <c r="D23" i="8"/>
  <c r="Q45" i="1"/>
  <c r="S2" i="1"/>
  <c r="S198" i="1" s="1"/>
  <c r="T3" i="1"/>
  <c r="U1" i="1" s="1"/>
  <c r="S196" i="1" l="1"/>
  <c r="S197" i="1"/>
  <c r="S194" i="1"/>
  <c r="S195" i="1"/>
  <c r="S144" i="1"/>
  <c r="S145" i="1"/>
  <c r="S143" i="1"/>
  <c r="S193" i="1"/>
  <c r="S141" i="1"/>
  <c r="S142" i="1"/>
  <c r="S139" i="1"/>
  <c r="S140" i="1"/>
  <c r="S223" i="1"/>
  <c r="S224" i="1"/>
  <c r="S94" i="1"/>
  <c r="S102" i="1"/>
  <c r="S100" i="1"/>
  <c r="S98" i="1"/>
  <c r="S103" i="1"/>
  <c r="S93" i="1"/>
  <c r="S101" i="1"/>
  <c r="S96" i="1"/>
  <c r="S92" i="1"/>
  <c r="S95" i="1"/>
  <c r="S97" i="1"/>
  <c r="S99" i="1"/>
  <c r="S90" i="1"/>
  <c r="S91" i="1"/>
  <c r="S136" i="1"/>
  <c r="S137" i="1"/>
  <c r="S252" i="1"/>
  <c r="S138" i="1"/>
  <c r="S82" i="1"/>
  <c r="S219" i="1"/>
  <c r="S218" i="1"/>
  <c r="S217" i="1"/>
  <c r="S222" i="1"/>
  <c r="S220" i="1"/>
  <c r="S221" i="1"/>
  <c r="S216" i="1"/>
  <c r="S89" i="1"/>
  <c r="S251" i="1"/>
  <c r="S215" i="1"/>
  <c r="S214" i="1"/>
  <c r="S134" i="1"/>
  <c r="S135" i="1"/>
  <c r="S212" i="1"/>
  <c r="S213" i="1"/>
  <c r="S210" i="1"/>
  <c r="S211" i="1"/>
  <c r="S208" i="1"/>
  <c r="S209" i="1"/>
  <c r="S207" i="1"/>
  <c r="S88" i="1"/>
  <c r="S133" i="1"/>
  <c r="S131" i="1"/>
  <c r="S132" i="1"/>
  <c r="S129" i="1"/>
  <c r="S130" i="1"/>
  <c r="S126" i="1"/>
  <c r="S128" i="1"/>
  <c r="S123" i="1"/>
  <c r="S125" i="1"/>
  <c r="S121" i="1"/>
  <c r="S122" i="1"/>
  <c r="S87" i="1"/>
  <c r="S120" i="1"/>
  <c r="S86" i="1"/>
  <c r="S250" i="1"/>
  <c r="S249" i="1"/>
  <c r="S85" i="1"/>
  <c r="S247" i="1"/>
  <c r="S248" i="1"/>
  <c r="S246" i="1"/>
  <c r="S84" i="1"/>
  <c r="S243" i="1"/>
  <c r="S245" i="1"/>
  <c r="S244" i="1"/>
  <c r="S242" i="1"/>
  <c r="S261" i="1"/>
  <c r="S83" i="1"/>
  <c r="S241" i="1"/>
  <c r="S240" i="1"/>
  <c r="S239" i="1"/>
  <c r="S7" i="1"/>
  <c r="S238" i="1"/>
  <c r="S75" i="1"/>
  <c r="S6" i="1"/>
  <c r="S5" i="1"/>
  <c r="S51" i="1"/>
  <c r="S54" i="1"/>
  <c r="S57" i="1"/>
  <c r="S61" i="1"/>
  <c r="S62" i="1"/>
  <c r="S53" i="1"/>
  <c r="S55" i="1"/>
  <c r="S60" i="1"/>
  <c r="S58" i="1"/>
  <c r="S59" i="1"/>
  <c r="S56" i="1"/>
  <c r="S63" i="1"/>
  <c r="S199" i="1"/>
  <c r="S229" i="1"/>
  <c r="S232" i="1"/>
  <c r="S236" i="1"/>
  <c r="S237" i="1"/>
  <c r="S231" i="1"/>
  <c r="S235" i="1"/>
  <c r="S233" i="1"/>
  <c r="S230" i="1"/>
  <c r="S234" i="1"/>
  <c r="S203" i="1"/>
  <c r="S206" i="1"/>
  <c r="S205" i="1"/>
  <c r="S204" i="1"/>
  <c r="S154" i="1"/>
  <c r="S157" i="1"/>
  <c r="S161" i="1"/>
  <c r="S165" i="1"/>
  <c r="S169" i="1"/>
  <c r="S173" i="1"/>
  <c r="S156" i="1"/>
  <c r="S160" i="1"/>
  <c r="S164" i="1"/>
  <c r="S168" i="1"/>
  <c r="S172" i="1"/>
  <c r="S176" i="1"/>
  <c r="S180" i="1"/>
  <c r="S184" i="1"/>
  <c r="S155" i="1"/>
  <c r="S159" i="1"/>
  <c r="S163" i="1"/>
  <c r="S167" i="1"/>
  <c r="S171" i="1"/>
  <c r="S162" i="1"/>
  <c r="S181" i="1"/>
  <c r="S182" i="1"/>
  <c r="S183" i="1"/>
  <c r="S189" i="1"/>
  <c r="S166" i="1"/>
  <c r="S177" i="1"/>
  <c r="S158" i="1"/>
  <c r="S174" i="1"/>
  <c r="S185" i="1"/>
  <c r="S188" i="1"/>
  <c r="S192" i="1"/>
  <c r="S178" i="1"/>
  <c r="S186" i="1"/>
  <c r="S170" i="1"/>
  <c r="S175" i="1"/>
  <c r="S187" i="1"/>
  <c r="S191" i="1"/>
  <c r="S179" i="1"/>
  <c r="S190" i="1"/>
  <c r="S108" i="1"/>
  <c r="S111" i="1"/>
  <c r="S115" i="1"/>
  <c r="S119" i="1"/>
  <c r="S127" i="1"/>
  <c r="S110" i="1"/>
  <c r="S114" i="1"/>
  <c r="S118" i="1"/>
  <c r="S112" i="1"/>
  <c r="S109" i="1"/>
  <c r="S113" i="1"/>
  <c r="S117" i="1"/>
  <c r="S116" i="1"/>
  <c r="S124" i="1"/>
  <c r="S81" i="1"/>
  <c r="S80" i="1"/>
  <c r="S48" i="1"/>
  <c r="S50" i="1"/>
  <c r="S49" i="1"/>
  <c r="R151" i="1"/>
  <c r="G25" i="8" s="1"/>
  <c r="R262" i="1"/>
  <c r="J25" i="8" s="1"/>
  <c r="R226" i="1"/>
  <c r="I25" i="8" s="1"/>
  <c r="R105" i="1"/>
  <c r="F24" i="8"/>
  <c r="S43" i="1"/>
  <c r="S38" i="1"/>
  <c r="S39" i="1"/>
  <c r="S19" i="1"/>
  <c r="S8" i="1"/>
  <c r="S12" i="1"/>
  <c r="S16" i="1"/>
  <c r="S20" i="1"/>
  <c r="S24" i="1"/>
  <c r="S28" i="1"/>
  <c r="S32" i="1"/>
  <c r="S36" i="1"/>
  <c r="S9" i="1"/>
  <c r="S13" i="1"/>
  <c r="S17" i="1"/>
  <c r="S21" i="1"/>
  <c r="S25" i="1"/>
  <c r="S29" i="1"/>
  <c r="S33" i="1"/>
  <c r="S37" i="1"/>
  <c r="S44" i="1"/>
  <c r="S10" i="1"/>
  <c r="S14" i="1"/>
  <c r="S18" i="1"/>
  <c r="S22" i="1"/>
  <c r="S26" i="1"/>
  <c r="S30" i="1"/>
  <c r="S34" i="1"/>
  <c r="S11" i="1"/>
  <c r="S15" i="1"/>
  <c r="S23" i="1"/>
  <c r="S27" i="1"/>
  <c r="S31" i="1"/>
  <c r="S35" i="1"/>
  <c r="S42" i="1"/>
  <c r="R200" i="1"/>
  <c r="H25" i="8" s="1"/>
  <c r="T2" i="1"/>
  <c r="T198" i="1" s="1"/>
  <c r="U3" i="1"/>
  <c r="V1" i="1" s="1"/>
  <c r="D24" i="8"/>
  <c r="R45" i="1"/>
  <c r="F25" i="8" l="1"/>
  <c r="T196" i="1"/>
  <c r="T197" i="1"/>
  <c r="T194" i="1"/>
  <c r="T195" i="1"/>
  <c r="T144" i="1"/>
  <c r="T145" i="1"/>
  <c r="T143" i="1"/>
  <c r="T193" i="1"/>
  <c r="T141" i="1"/>
  <c r="T142" i="1"/>
  <c r="T139" i="1"/>
  <c r="T140" i="1"/>
  <c r="T223" i="1"/>
  <c r="T224" i="1"/>
  <c r="T100" i="1"/>
  <c r="T96" i="1"/>
  <c r="T92" i="1"/>
  <c r="T97" i="1"/>
  <c r="T103" i="1"/>
  <c r="T99" i="1"/>
  <c r="T95" i="1"/>
  <c r="T101" i="1"/>
  <c r="T102" i="1"/>
  <c r="T98" i="1"/>
  <c r="T94" i="1"/>
  <c r="T93" i="1"/>
  <c r="T90" i="1"/>
  <c r="T91" i="1"/>
  <c r="T136" i="1"/>
  <c r="T137" i="1"/>
  <c r="T252" i="1"/>
  <c r="T138" i="1"/>
  <c r="T82" i="1"/>
  <c r="T219" i="1"/>
  <c r="T218" i="1"/>
  <c r="T222" i="1"/>
  <c r="T221" i="1"/>
  <c r="T220" i="1"/>
  <c r="T217" i="1"/>
  <c r="T216" i="1"/>
  <c r="T89" i="1"/>
  <c r="T251" i="1"/>
  <c r="T215" i="1"/>
  <c r="T214" i="1"/>
  <c r="T135" i="1"/>
  <c r="T134" i="1"/>
  <c r="T212" i="1"/>
  <c r="T213" i="1"/>
  <c r="T210" i="1"/>
  <c r="T211" i="1"/>
  <c r="T208" i="1"/>
  <c r="T209" i="1"/>
  <c r="T207" i="1"/>
  <c r="T88" i="1"/>
  <c r="T133" i="1"/>
  <c r="T131" i="1"/>
  <c r="T132" i="1"/>
  <c r="T129" i="1"/>
  <c r="T130" i="1"/>
  <c r="T126" i="1"/>
  <c r="T128" i="1"/>
  <c r="T123" i="1"/>
  <c r="T125" i="1"/>
  <c r="T121" i="1"/>
  <c r="T122" i="1"/>
  <c r="T87" i="1"/>
  <c r="T120" i="1"/>
  <c r="T86" i="1"/>
  <c r="T250" i="1"/>
  <c r="T249" i="1"/>
  <c r="T85" i="1"/>
  <c r="T247" i="1"/>
  <c r="T248" i="1"/>
  <c r="T246" i="1"/>
  <c r="T84" i="1"/>
  <c r="T243" i="1"/>
  <c r="T245" i="1"/>
  <c r="T244" i="1"/>
  <c r="T242" i="1"/>
  <c r="T261" i="1"/>
  <c r="T83" i="1"/>
  <c r="T240" i="1"/>
  <c r="T239" i="1"/>
  <c r="T241" i="1"/>
  <c r="T7" i="1"/>
  <c r="T238" i="1"/>
  <c r="T75" i="1"/>
  <c r="T5" i="1"/>
  <c r="T6" i="1"/>
  <c r="T51" i="1"/>
  <c r="T61" i="1"/>
  <c r="T57" i="1"/>
  <c r="T53" i="1"/>
  <c r="T58" i="1"/>
  <c r="T60" i="1"/>
  <c r="T56" i="1"/>
  <c r="T62" i="1"/>
  <c r="T59" i="1"/>
  <c r="T55" i="1"/>
  <c r="T54" i="1"/>
  <c r="T63" i="1"/>
  <c r="T199" i="1"/>
  <c r="T229" i="1"/>
  <c r="T233" i="1"/>
  <c r="T237" i="1"/>
  <c r="T232" i="1"/>
  <c r="T236" i="1"/>
  <c r="T230" i="1"/>
  <c r="T231" i="1"/>
  <c r="T235" i="1"/>
  <c r="T234" i="1"/>
  <c r="T203" i="1"/>
  <c r="T204" i="1"/>
  <c r="T206" i="1"/>
  <c r="T205" i="1"/>
  <c r="T154" i="1"/>
  <c r="T158" i="1"/>
  <c r="T162" i="1"/>
  <c r="T166" i="1"/>
  <c r="T170" i="1"/>
  <c r="T174" i="1"/>
  <c r="T157" i="1"/>
  <c r="T161" i="1"/>
  <c r="T165" i="1"/>
  <c r="T169" i="1"/>
  <c r="T173" i="1"/>
  <c r="T177" i="1"/>
  <c r="T181" i="1"/>
  <c r="T185" i="1"/>
  <c r="T156" i="1"/>
  <c r="T160" i="1"/>
  <c r="T164" i="1"/>
  <c r="T168" i="1"/>
  <c r="T172" i="1"/>
  <c r="T159" i="1"/>
  <c r="T178" i="1"/>
  <c r="T179" i="1"/>
  <c r="T180" i="1"/>
  <c r="T186" i="1"/>
  <c r="T190" i="1"/>
  <c r="T192" i="1"/>
  <c r="T163" i="1"/>
  <c r="T176" i="1"/>
  <c r="T155" i="1"/>
  <c r="T171" i="1"/>
  <c r="T182" i="1"/>
  <c r="T183" i="1"/>
  <c r="T184" i="1"/>
  <c r="T189" i="1"/>
  <c r="T187" i="1"/>
  <c r="T167" i="1"/>
  <c r="T188" i="1"/>
  <c r="T175" i="1"/>
  <c r="T191" i="1"/>
  <c r="T108" i="1"/>
  <c r="T112" i="1"/>
  <c r="T116" i="1"/>
  <c r="T124" i="1"/>
  <c r="T109" i="1"/>
  <c r="T111" i="1"/>
  <c r="T115" i="1"/>
  <c r="T119" i="1"/>
  <c r="T127" i="1"/>
  <c r="T110" i="1"/>
  <c r="T114" i="1"/>
  <c r="T118" i="1"/>
  <c r="T113" i="1"/>
  <c r="T117" i="1"/>
  <c r="T80" i="1"/>
  <c r="T81" i="1"/>
  <c r="T48" i="1"/>
  <c r="T49" i="1"/>
  <c r="T50" i="1"/>
  <c r="S151" i="1"/>
  <c r="G26" i="8" s="1"/>
  <c r="S262" i="1"/>
  <c r="J26" i="8" s="1"/>
  <c r="S226" i="1"/>
  <c r="I26" i="8" s="1"/>
  <c r="S105" i="1"/>
  <c r="T43" i="1"/>
  <c r="T38" i="1"/>
  <c r="T39" i="1"/>
  <c r="T19" i="1"/>
  <c r="T11" i="1"/>
  <c r="T15" i="1"/>
  <c r="T23" i="1"/>
  <c r="T27" i="1"/>
  <c r="T31" i="1"/>
  <c r="T35" i="1"/>
  <c r="T10" i="1"/>
  <c r="T18" i="1"/>
  <c r="T8" i="1"/>
  <c r="T12" i="1"/>
  <c r="T16" i="1"/>
  <c r="T20" i="1"/>
  <c r="T24" i="1"/>
  <c r="T28" i="1"/>
  <c r="T32" i="1"/>
  <c r="T36" i="1"/>
  <c r="T44" i="1"/>
  <c r="T22" i="1"/>
  <c r="T9" i="1"/>
  <c r="T13" i="1"/>
  <c r="T17" i="1"/>
  <c r="T21" i="1"/>
  <c r="T25" i="1"/>
  <c r="T29" i="1"/>
  <c r="T33" i="1"/>
  <c r="T37" i="1"/>
  <c r="T26" i="1"/>
  <c r="T42" i="1"/>
  <c r="T14" i="1"/>
  <c r="T34" i="1"/>
  <c r="T30" i="1"/>
  <c r="S200" i="1"/>
  <c r="H26" i="8" s="1"/>
  <c r="D25" i="8"/>
  <c r="S45" i="1"/>
  <c r="U2" i="1"/>
  <c r="U198" i="1" s="1"/>
  <c r="V3" i="1"/>
  <c r="W1" i="1" s="1"/>
  <c r="U196" i="1" l="1"/>
  <c r="U197" i="1"/>
  <c r="U194" i="1"/>
  <c r="U195" i="1"/>
  <c r="U144" i="1"/>
  <c r="U145" i="1"/>
  <c r="U143" i="1"/>
  <c r="U193" i="1"/>
  <c r="U141" i="1"/>
  <c r="U142" i="1"/>
  <c r="U139" i="1"/>
  <c r="U140" i="1"/>
  <c r="U223" i="1"/>
  <c r="U224" i="1"/>
  <c r="U101" i="1"/>
  <c r="U97" i="1"/>
  <c r="U93" i="1"/>
  <c r="U102" i="1"/>
  <c r="U98" i="1"/>
  <c r="U94" i="1"/>
  <c r="U103" i="1"/>
  <c r="U99" i="1"/>
  <c r="U95" i="1"/>
  <c r="U100" i="1"/>
  <c r="U96" i="1"/>
  <c r="U92" i="1"/>
  <c r="U90" i="1"/>
  <c r="U91" i="1"/>
  <c r="U136" i="1"/>
  <c r="U137" i="1"/>
  <c r="U252" i="1"/>
  <c r="U138" i="1"/>
  <c r="U82" i="1"/>
  <c r="U222" i="1"/>
  <c r="U219" i="1"/>
  <c r="U217" i="1"/>
  <c r="U221" i="1"/>
  <c r="U220" i="1"/>
  <c r="U218" i="1"/>
  <c r="U216" i="1"/>
  <c r="U89" i="1"/>
  <c r="U251" i="1"/>
  <c r="U215" i="1"/>
  <c r="U214" i="1"/>
  <c r="U134" i="1"/>
  <c r="U135" i="1"/>
  <c r="U212" i="1"/>
  <c r="U213" i="1"/>
  <c r="U210" i="1"/>
  <c r="U211" i="1"/>
  <c r="U208" i="1"/>
  <c r="U209" i="1"/>
  <c r="U207" i="1"/>
  <c r="U88" i="1"/>
  <c r="U133" i="1"/>
  <c r="U131" i="1"/>
  <c r="U132" i="1"/>
  <c r="U129" i="1"/>
  <c r="U130" i="1"/>
  <c r="U126" i="1"/>
  <c r="U128" i="1"/>
  <c r="U123" i="1"/>
  <c r="U125" i="1"/>
  <c r="U121" i="1"/>
  <c r="U122" i="1"/>
  <c r="U87" i="1"/>
  <c r="U120" i="1"/>
  <c r="U86" i="1"/>
  <c r="U250" i="1"/>
  <c r="U249" i="1"/>
  <c r="U85" i="1"/>
  <c r="U247" i="1"/>
  <c r="U248" i="1"/>
  <c r="U246" i="1"/>
  <c r="U84" i="1"/>
  <c r="U243" i="1"/>
  <c r="U245" i="1"/>
  <c r="U244" i="1"/>
  <c r="U242" i="1"/>
  <c r="U261" i="1"/>
  <c r="U83" i="1"/>
  <c r="U240" i="1"/>
  <c r="U241" i="1"/>
  <c r="U239" i="1"/>
  <c r="U7" i="1"/>
  <c r="U238" i="1"/>
  <c r="U75" i="1"/>
  <c r="U6" i="1"/>
  <c r="U5" i="1"/>
  <c r="U51" i="1"/>
  <c r="U59" i="1"/>
  <c r="U55" i="1"/>
  <c r="U58" i="1"/>
  <c r="U54" i="1"/>
  <c r="U60" i="1"/>
  <c r="U56" i="1"/>
  <c r="U62" i="1"/>
  <c r="U61" i="1"/>
  <c r="U57" i="1"/>
  <c r="U53" i="1"/>
  <c r="U63" i="1"/>
  <c r="U199" i="1"/>
  <c r="U229" i="1"/>
  <c r="U230" i="1"/>
  <c r="U234" i="1"/>
  <c r="U231" i="1"/>
  <c r="U233" i="1"/>
  <c r="U237" i="1"/>
  <c r="U232" i="1"/>
  <c r="U236" i="1"/>
  <c r="U235" i="1"/>
  <c r="U203" i="1"/>
  <c r="U204" i="1"/>
  <c r="U205" i="1"/>
  <c r="U206" i="1"/>
  <c r="U154" i="1"/>
  <c r="U155" i="1"/>
  <c r="U159" i="1"/>
  <c r="U163" i="1"/>
  <c r="U167" i="1"/>
  <c r="U171" i="1"/>
  <c r="U158" i="1"/>
  <c r="U162" i="1"/>
  <c r="U166" i="1"/>
  <c r="U170" i="1"/>
  <c r="U174" i="1"/>
  <c r="U178" i="1"/>
  <c r="U182" i="1"/>
  <c r="U157" i="1"/>
  <c r="U161" i="1"/>
  <c r="U165" i="1"/>
  <c r="U169" i="1"/>
  <c r="U173" i="1"/>
  <c r="U156" i="1"/>
  <c r="U172" i="1"/>
  <c r="U175" i="1"/>
  <c r="U176" i="1"/>
  <c r="U177" i="1"/>
  <c r="U187" i="1"/>
  <c r="U191" i="1"/>
  <c r="U160" i="1"/>
  <c r="U168" i="1"/>
  <c r="U179" i="1"/>
  <c r="U180" i="1"/>
  <c r="U181" i="1"/>
  <c r="U186" i="1"/>
  <c r="U190" i="1"/>
  <c r="U188" i="1"/>
  <c r="U164" i="1"/>
  <c r="U183" i="1"/>
  <c r="U184" i="1"/>
  <c r="U185" i="1"/>
  <c r="U189" i="1"/>
  <c r="U192" i="1"/>
  <c r="U108" i="1"/>
  <c r="U109" i="1"/>
  <c r="U113" i="1"/>
  <c r="U117" i="1"/>
  <c r="U112" i="1"/>
  <c r="U116" i="1"/>
  <c r="U124" i="1"/>
  <c r="U110" i="1"/>
  <c r="U114" i="1"/>
  <c r="U111" i="1"/>
  <c r="U115" i="1"/>
  <c r="U119" i="1"/>
  <c r="U127" i="1"/>
  <c r="U118" i="1"/>
  <c r="U80" i="1"/>
  <c r="U81" i="1"/>
  <c r="U49" i="1"/>
  <c r="U50" i="1"/>
  <c r="U48" i="1"/>
  <c r="T151" i="1"/>
  <c r="G27" i="8" s="1"/>
  <c r="T262" i="1"/>
  <c r="J27" i="8" s="1"/>
  <c r="T226" i="1"/>
  <c r="I27" i="8" s="1"/>
  <c r="T105" i="1"/>
  <c r="F26" i="8"/>
  <c r="U38" i="1"/>
  <c r="U43" i="1"/>
  <c r="U39" i="1"/>
  <c r="U19" i="1"/>
  <c r="U11" i="1"/>
  <c r="U15" i="1"/>
  <c r="U23" i="1"/>
  <c r="U27" i="1"/>
  <c r="U31" i="1"/>
  <c r="U35" i="1"/>
  <c r="U44" i="1"/>
  <c r="U8" i="1"/>
  <c r="U12" i="1"/>
  <c r="U16" i="1"/>
  <c r="U20" i="1"/>
  <c r="U24" i="1"/>
  <c r="U28" i="1"/>
  <c r="U32" i="1"/>
  <c r="U36" i="1"/>
  <c r="U9" i="1"/>
  <c r="U13" i="1"/>
  <c r="U17" i="1"/>
  <c r="U21" i="1"/>
  <c r="U25" i="1"/>
  <c r="U29" i="1"/>
  <c r="U33" i="1"/>
  <c r="U37" i="1"/>
  <c r="U10" i="1"/>
  <c r="U14" i="1"/>
  <c r="U18" i="1"/>
  <c r="U22" i="1"/>
  <c r="U26" i="1"/>
  <c r="U30" i="1"/>
  <c r="U34" i="1"/>
  <c r="U42" i="1"/>
  <c r="T200" i="1"/>
  <c r="H27" i="8" s="1"/>
  <c r="W3" i="1"/>
  <c r="V2" i="1"/>
  <c r="V198" i="1" s="1"/>
  <c r="T45" i="1"/>
  <c r="D26" i="8"/>
  <c r="F27" i="8" l="1"/>
  <c r="V196" i="1"/>
  <c r="V197" i="1"/>
  <c r="V194" i="1"/>
  <c r="V195" i="1"/>
  <c r="V144" i="1"/>
  <c r="V145" i="1"/>
  <c r="V143" i="1"/>
  <c r="V193" i="1"/>
  <c r="V141" i="1"/>
  <c r="V142" i="1"/>
  <c r="V139" i="1"/>
  <c r="V140" i="1"/>
  <c r="V223" i="1"/>
  <c r="V224" i="1"/>
  <c r="V95" i="1"/>
  <c r="V102" i="1"/>
  <c r="V97" i="1"/>
  <c r="V101" i="1"/>
  <c r="V100" i="1"/>
  <c r="V96" i="1"/>
  <c r="V92" i="1"/>
  <c r="V103" i="1"/>
  <c r="V99" i="1"/>
  <c r="V94" i="1"/>
  <c r="V93" i="1"/>
  <c r="V98" i="1"/>
  <c r="V90" i="1"/>
  <c r="V91" i="1"/>
  <c r="V136" i="1"/>
  <c r="V137" i="1"/>
  <c r="V252" i="1"/>
  <c r="V138" i="1"/>
  <c r="V82" i="1"/>
  <c r="V222" i="1"/>
  <c r="V218" i="1"/>
  <c r="V220" i="1"/>
  <c r="V219" i="1"/>
  <c r="V217" i="1"/>
  <c r="V221" i="1"/>
  <c r="V216" i="1"/>
  <c r="V89" i="1"/>
  <c r="V251" i="1"/>
  <c r="V215" i="1"/>
  <c r="V214" i="1"/>
  <c r="V134" i="1"/>
  <c r="V135" i="1"/>
  <c r="V212" i="1"/>
  <c r="V213" i="1"/>
  <c r="V210" i="1"/>
  <c r="V211" i="1"/>
  <c r="V208" i="1"/>
  <c r="V209" i="1"/>
  <c r="V207" i="1"/>
  <c r="V88" i="1"/>
  <c r="V133" i="1"/>
  <c r="V131" i="1"/>
  <c r="V132" i="1"/>
  <c r="V129" i="1"/>
  <c r="V130" i="1"/>
  <c r="V126" i="1"/>
  <c r="V128" i="1"/>
  <c r="V123" i="1"/>
  <c r="V125" i="1"/>
  <c r="V121" i="1"/>
  <c r="V122" i="1"/>
  <c r="V87" i="1"/>
  <c r="V120" i="1"/>
  <c r="V86" i="1"/>
  <c r="V250" i="1"/>
  <c r="V249" i="1"/>
  <c r="V85" i="1"/>
  <c r="V247" i="1"/>
  <c r="V248" i="1"/>
  <c r="V246" i="1"/>
  <c r="V84" i="1"/>
  <c r="V243" i="1"/>
  <c r="V245" i="1"/>
  <c r="V244" i="1"/>
  <c r="V242" i="1"/>
  <c r="V261" i="1"/>
  <c r="V83" i="1"/>
  <c r="V241" i="1"/>
  <c r="V239" i="1"/>
  <c r="V240" i="1"/>
  <c r="V7" i="1"/>
  <c r="V238" i="1"/>
  <c r="V75" i="1"/>
  <c r="V5" i="1"/>
  <c r="V6" i="1"/>
  <c r="V51" i="1"/>
  <c r="V61" i="1"/>
  <c r="V58" i="1"/>
  <c r="V56" i="1"/>
  <c r="V59" i="1"/>
  <c r="V53" i="1"/>
  <c r="V57" i="1"/>
  <c r="V60" i="1"/>
  <c r="V54" i="1"/>
  <c r="V55" i="1"/>
  <c r="V62" i="1"/>
  <c r="V63" i="1"/>
  <c r="V199" i="1"/>
  <c r="V229" i="1"/>
  <c r="V231" i="1"/>
  <c r="V235" i="1"/>
  <c r="V232" i="1"/>
  <c r="V230" i="1"/>
  <c r="V234" i="1"/>
  <c r="V233" i="1"/>
  <c r="V237" i="1"/>
  <c r="V236" i="1"/>
  <c r="V203" i="1"/>
  <c r="V205" i="1"/>
  <c r="V206" i="1"/>
  <c r="V204" i="1"/>
  <c r="V154" i="1"/>
  <c r="V156" i="1"/>
  <c r="V160" i="1"/>
  <c r="V164" i="1"/>
  <c r="V168" i="1"/>
  <c r="V172" i="1"/>
  <c r="V155" i="1"/>
  <c r="V159" i="1"/>
  <c r="V163" i="1"/>
  <c r="V167" i="1"/>
  <c r="V171" i="1"/>
  <c r="V175" i="1"/>
  <c r="V179" i="1"/>
  <c r="V183" i="1"/>
  <c r="V158" i="1"/>
  <c r="V162" i="1"/>
  <c r="V166" i="1"/>
  <c r="V170" i="1"/>
  <c r="V174" i="1"/>
  <c r="V169" i="1"/>
  <c r="V188" i="1"/>
  <c r="V192" i="1"/>
  <c r="V173" i="1"/>
  <c r="V185" i="1"/>
  <c r="V189" i="1"/>
  <c r="V165" i="1"/>
  <c r="V176" i="1"/>
  <c r="V177" i="1"/>
  <c r="V178" i="1"/>
  <c r="V187" i="1"/>
  <c r="V191" i="1"/>
  <c r="V157" i="1"/>
  <c r="V161" i="1"/>
  <c r="V180" i="1"/>
  <c r="V181" i="1"/>
  <c r="V182" i="1"/>
  <c r="V186" i="1"/>
  <c r="V190" i="1"/>
  <c r="V184" i="1"/>
  <c r="V108" i="1"/>
  <c r="V110" i="1"/>
  <c r="V114" i="1"/>
  <c r="V118" i="1"/>
  <c r="V111" i="1"/>
  <c r="V109" i="1"/>
  <c r="V113" i="1"/>
  <c r="V117" i="1"/>
  <c r="V124" i="1"/>
  <c r="V115" i="1"/>
  <c r="V119" i="1"/>
  <c r="V127" i="1"/>
  <c r="V112" i="1"/>
  <c r="V116" i="1"/>
  <c r="V81" i="1"/>
  <c r="V80" i="1"/>
  <c r="V48" i="1"/>
  <c r="V50" i="1"/>
  <c r="V49" i="1"/>
  <c r="U151" i="1"/>
  <c r="G28" i="8" s="1"/>
  <c r="U262" i="1"/>
  <c r="J28" i="8" s="1"/>
  <c r="U226" i="1"/>
  <c r="I28" i="8" s="1"/>
  <c r="U105" i="1"/>
  <c r="V43" i="1"/>
  <c r="V38" i="1"/>
  <c r="V39" i="1"/>
  <c r="V19" i="1"/>
  <c r="V10" i="1"/>
  <c r="V14" i="1"/>
  <c r="V18" i="1"/>
  <c r="V22" i="1"/>
  <c r="V26" i="1"/>
  <c r="V30" i="1"/>
  <c r="V34" i="1"/>
  <c r="V21" i="1"/>
  <c r="V11" i="1"/>
  <c r="V15" i="1"/>
  <c r="V23" i="1"/>
  <c r="V27" i="1"/>
  <c r="V31" i="1"/>
  <c r="V35" i="1"/>
  <c r="V42" i="1"/>
  <c r="V17" i="1"/>
  <c r="V8" i="1"/>
  <c r="V12" i="1"/>
  <c r="V16" i="1"/>
  <c r="V20" i="1"/>
  <c r="V24" i="1"/>
  <c r="V28" i="1"/>
  <c r="V32" i="1"/>
  <c r="V36" i="1"/>
  <c r="V13" i="1"/>
  <c r="V25" i="1"/>
  <c r="V9" i="1"/>
  <c r="V33" i="1"/>
  <c r="V44" i="1"/>
  <c r="V29" i="1"/>
  <c r="V37" i="1"/>
  <c r="W2" i="1"/>
  <c r="W198" i="1" s="1"/>
  <c r="U200" i="1"/>
  <c r="H28" i="8" s="1"/>
  <c r="D27" i="8"/>
  <c r="U45" i="1"/>
  <c r="W196" i="1" l="1"/>
  <c r="W197" i="1"/>
  <c r="W194" i="1"/>
  <c r="W195" i="1"/>
  <c r="W144" i="1"/>
  <c r="W145" i="1"/>
  <c r="W143" i="1"/>
  <c r="W193" i="1"/>
  <c r="W141" i="1"/>
  <c r="W142" i="1"/>
  <c r="W139" i="1"/>
  <c r="W140" i="1"/>
  <c r="W223" i="1"/>
  <c r="W224" i="1"/>
  <c r="W94" i="1"/>
  <c r="W103" i="1"/>
  <c r="W95" i="1"/>
  <c r="W93" i="1"/>
  <c r="W102" i="1"/>
  <c r="W96" i="1"/>
  <c r="W100" i="1"/>
  <c r="W97" i="1"/>
  <c r="W92" i="1"/>
  <c r="W99" i="1"/>
  <c r="W101" i="1"/>
  <c r="W98" i="1"/>
  <c r="W90" i="1"/>
  <c r="W91" i="1"/>
  <c r="W136" i="1"/>
  <c r="W137" i="1"/>
  <c r="W252" i="1"/>
  <c r="W138" i="1"/>
  <c r="W82" i="1"/>
  <c r="W219" i="1"/>
  <c r="W222" i="1"/>
  <c r="W217" i="1"/>
  <c r="W220" i="1"/>
  <c r="W221" i="1"/>
  <c r="W218" i="1"/>
  <c r="W216" i="1"/>
  <c r="W89" i="1"/>
  <c r="W251" i="1"/>
  <c r="W215" i="1"/>
  <c r="W214" i="1"/>
  <c r="W135" i="1"/>
  <c r="W134" i="1"/>
  <c r="W212" i="1"/>
  <c r="W213" i="1"/>
  <c r="W210" i="1"/>
  <c r="W211" i="1"/>
  <c r="W208" i="1"/>
  <c r="W209" i="1"/>
  <c r="W207" i="1"/>
  <c r="W88" i="1"/>
  <c r="W133" i="1"/>
  <c r="W131" i="1"/>
  <c r="W132" i="1"/>
  <c r="W129" i="1"/>
  <c r="W130" i="1"/>
  <c r="W126" i="1"/>
  <c r="W128" i="1"/>
  <c r="W123" i="1"/>
  <c r="W125" i="1"/>
  <c r="W121" i="1"/>
  <c r="W122" i="1"/>
  <c r="W87" i="1"/>
  <c r="W120" i="1"/>
  <c r="W86" i="1"/>
  <c r="W250" i="1"/>
  <c r="W249" i="1"/>
  <c r="W85" i="1"/>
  <c r="W247" i="1"/>
  <c r="W248" i="1"/>
  <c r="W246" i="1"/>
  <c r="W84" i="1"/>
  <c r="W243" i="1"/>
  <c r="W245" i="1"/>
  <c r="W244" i="1"/>
  <c r="W242" i="1"/>
  <c r="W261" i="1"/>
  <c r="W83" i="1"/>
  <c r="W239" i="1"/>
  <c r="W241" i="1"/>
  <c r="W240" i="1"/>
  <c r="W7" i="1"/>
  <c r="W238" i="1"/>
  <c r="W75" i="1"/>
  <c r="W5" i="1"/>
  <c r="W6" i="1"/>
  <c r="W51" i="1"/>
  <c r="W54" i="1"/>
  <c r="W57" i="1"/>
  <c r="W58" i="1"/>
  <c r="W55" i="1"/>
  <c r="W62" i="1"/>
  <c r="W60" i="1"/>
  <c r="W61" i="1"/>
  <c r="W56" i="1"/>
  <c r="W53" i="1"/>
  <c r="W59" i="1"/>
  <c r="W63" i="1"/>
  <c r="W199" i="1"/>
  <c r="W229" i="1"/>
  <c r="W232" i="1"/>
  <c r="W236" i="1"/>
  <c r="W233" i="1"/>
  <c r="W231" i="1"/>
  <c r="W235" i="1"/>
  <c r="W237" i="1"/>
  <c r="W230" i="1"/>
  <c r="W234" i="1"/>
  <c r="W203" i="1"/>
  <c r="W206" i="1"/>
  <c r="W205" i="1"/>
  <c r="W204" i="1"/>
  <c r="W154" i="1"/>
  <c r="W157" i="1"/>
  <c r="W161" i="1"/>
  <c r="W165" i="1"/>
  <c r="W169" i="1"/>
  <c r="W173" i="1"/>
  <c r="W156" i="1"/>
  <c r="W160" i="1"/>
  <c r="W164" i="1"/>
  <c r="W168" i="1"/>
  <c r="W172" i="1"/>
  <c r="W176" i="1"/>
  <c r="W180" i="1"/>
  <c r="W184" i="1"/>
  <c r="W155" i="1"/>
  <c r="W159" i="1"/>
  <c r="W163" i="1"/>
  <c r="W167" i="1"/>
  <c r="W171" i="1"/>
  <c r="W166" i="1"/>
  <c r="W185" i="1"/>
  <c r="W189" i="1"/>
  <c r="W192" i="1"/>
  <c r="W170" i="1"/>
  <c r="W182" i="1"/>
  <c r="W190" i="1"/>
  <c r="W162" i="1"/>
  <c r="W175" i="1"/>
  <c r="W188" i="1"/>
  <c r="W181" i="1"/>
  <c r="W183" i="1"/>
  <c r="W158" i="1"/>
  <c r="W174" i="1"/>
  <c r="W177" i="1"/>
  <c r="W178" i="1"/>
  <c r="W179" i="1"/>
  <c r="W187" i="1"/>
  <c r="W191" i="1"/>
  <c r="W186" i="1"/>
  <c r="W108" i="1"/>
  <c r="W111" i="1"/>
  <c r="W115" i="1"/>
  <c r="W119" i="1"/>
  <c r="W127" i="1"/>
  <c r="W112" i="1"/>
  <c r="W116" i="1"/>
  <c r="W110" i="1"/>
  <c r="W114" i="1"/>
  <c r="W118" i="1"/>
  <c r="W124" i="1"/>
  <c r="W109" i="1"/>
  <c r="W113" i="1"/>
  <c r="W117" i="1"/>
  <c r="W81" i="1"/>
  <c r="W80" i="1"/>
  <c r="W50" i="1"/>
  <c r="W49" i="1"/>
  <c r="W48" i="1"/>
  <c r="V151" i="1"/>
  <c r="G29" i="8" s="1"/>
  <c r="V262" i="1"/>
  <c r="J29" i="8" s="1"/>
  <c r="V226" i="1"/>
  <c r="I29" i="8" s="1"/>
  <c r="V105" i="1"/>
  <c r="F28" i="8"/>
  <c r="W38" i="1"/>
  <c r="W43" i="1"/>
  <c r="W39" i="1"/>
  <c r="W19" i="1"/>
  <c r="W10" i="1"/>
  <c r="W14" i="1"/>
  <c r="W18" i="1"/>
  <c r="W22" i="1"/>
  <c r="W26" i="1"/>
  <c r="W30" i="1"/>
  <c r="W34" i="1"/>
  <c r="W11" i="1"/>
  <c r="W15" i="1"/>
  <c r="W23" i="1"/>
  <c r="W27" i="1"/>
  <c r="W31" i="1"/>
  <c r="W35" i="1"/>
  <c r="W42" i="1"/>
  <c r="W8" i="1"/>
  <c r="W12" i="1"/>
  <c r="W16" i="1"/>
  <c r="W20" i="1"/>
  <c r="W24" i="1"/>
  <c r="W28" i="1"/>
  <c r="W32" i="1"/>
  <c r="W36" i="1"/>
  <c r="W9" i="1"/>
  <c r="W13" i="1"/>
  <c r="W17" i="1"/>
  <c r="W21" i="1"/>
  <c r="W25" i="1"/>
  <c r="W29" i="1"/>
  <c r="W33" i="1"/>
  <c r="W37" i="1"/>
  <c r="W44" i="1"/>
  <c r="V200" i="1"/>
  <c r="H29" i="8" s="1"/>
  <c r="V45" i="1"/>
  <c r="D28" i="8"/>
  <c r="F29" i="8" l="1"/>
  <c r="W151" i="1"/>
  <c r="W262" i="1"/>
  <c r="J30" i="8" s="1"/>
  <c r="W226" i="1"/>
  <c r="I30" i="8" s="1"/>
  <c r="W105" i="1"/>
  <c r="W200" i="1"/>
  <c r="H30" i="8" s="1"/>
  <c r="W45" i="1"/>
  <c r="D29" i="8"/>
  <c r="F30" i="8" l="1"/>
  <c r="D30" i="8"/>
  <c r="G30" i="8"/>
  <c r="X151" i="1"/>
  <c r="X262" i="1"/>
  <c r="X226" i="1"/>
  <c r="X105" i="1"/>
  <c r="X200" i="1"/>
  <c r="X45" i="1"/>
  <c r="D9" i="8" l="1"/>
  <c r="J19" i="8" s="1"/>
  <c r="L262" i="1"/>
  <c r="E9" i="8" l="1"/>
  <c r="L39" i="1"/>
  <c r="I39" i="1"/>
  <c r="I45" i="1" l="1"/>
  <c r="L45" i="1" l="1"/>
  <c r="E3" i="8" s="1"/>
  <c r="D3" i="8"/>
  <c r="L52" i="1"/>
  <c r="I52" i="1"/>
  <c r="F305" i="1" s="1"/>
  <c r="H308" i="1"/>
  <c r="D19" i="8" l="1"/>
  <c r="F306" i="1"/>
  <c r="M52" i="1"/>
  <c r="N52" i="1"/>
  <c r="O52" i="1"/>
  <c r="P52" i="1"/>
  <c r="Q52" i="1"/>
  <c r="R52" i="1"/>
  <c r="S52" i="1"/>
  <c r="T52" i="1"/>
  <c r="U52" i="1"/>
  <c r="V52" i="1"/>
  <c r="W52" i="1"/>
  <c r="I76" i="1"/>
  <c r="S76" i="1" l="1"/>
  <c r="R76" i="1"/>
  <c r="W76" i="1"/>
  <c r="O76" i="1"/>
  <c r="U76" i="1"/>
  <c r="M76" i="1"/>
  <c r="T76" i="1"/>
  <c r="Q76" i="1"/>
  <c r="P76" i="1"/>
  <c r="N76" i="1"/>
  <c r="V76" i="1"/>
  <c r="L76" i="1"/>
  <c r="D4" i="8"/>
  <c r="I264" i="1"/>
  <c r="B20" i="9" s="1"/>
  <c r="L282" i="1" l="1"/>
  <c r="K6" i="9" s="1"/>
  <c r="E27" i="8"/>
  <c r="K27" i="8" s="1"/>
  <c r="C27" i="8" s="1"/>
  <c r="T264" i="1"/>
  <c r="T263" i="1" s="1"/>
  <c r="E23" i="8"/>
  <c r="K23" i="8" s="1"/>
  <c r="C23" i="8" s="1"/>
  <c r="P264" i="1"/>
  <c r="P263" i="1" s="1"/>
  <c r="E20" i="8"/>
  <c r="K20" i="8" s="1"/>
  <c r="C20" i="8" s="1"/>
  <c r="M264" i="1"/>
  <c r="X76" i="1"/>
  <c r="X264" i="1" s="1"/>
  <c r="E29" i="8"/>
  <c r="K29" i="8" s="1"/>
  <c r="C29" i="8" s="1"/>
  <c r="V264" i="1"/>
  <c r="V263" i="1" s="1"/>
  <c r="E28" i="8"/>
  <c r="K28" i="8" s="1"/>
  <c r="C28" i="8" s="1"/>
  <c r="U264" i="1"/>
  <c r="U263" i="1" s="1"/>
  <c r="E30" i="8"/>
  <c r="K30" i="8" s="1"/>
  <c r="C30" i="8" s="1"/>
  <c r="W264" i="1"/>
  <c r="W263" i="1" s="1"/>
  <c r="E25" i="8"/>
  <c r="K25" i="8" s="1"/>
  <c r="C25" i="8" s="1"/>
  <c r="R264" i="1"/>
  <c r="R263" i="1" s="1"/>
  <c r="E24" i="8"/>
  <c r="K24" i="8" s="1"/>
  <c r="C24" i="8" s="1"/>
  <c r="Q264" i="1"/>
  <c r="Q263" i="1" s="1"/>
  <c r="E21" i="8"/>
  <c r="K21" i="8" s="1"/>
  <c r="C21" i="8" s="1"/>
  <c r="N264" i="1"/>
  <c r="N263" i="1" s="1"/>
  <c r="E22" i="8"/>
  <c r="K22" i="8" s="1"/>
  <c r="C22" i="8" s="1"/>
  <c r="O264" i="1"/>
  <c r="O263" i="1" s="1"/>
  <c r="E26" i="8"/>
  <c r="K26" i="8" s="1"/>
  <c r="C26" i="8" s="1"/>
  <c r="S264" i="1"/>
  <c r="S263" i="1" s="1"/>
  <c r="E282" i="1"/>
  <c r="D3" i="5"/>
  <c r="C3" i="5" s="1"/>
  <c r="E19" i="8"/>
  <c r="K19" i="8" s="1"/>
  <c r="C19" i="8" s="1"/>
  <c r="D10" i="8"/>
  <c r="E4" i="8"/>
  <c r="E10" i="8" s="1"/>
  <c r="L264" i="1"/>
  <c r="M263" i="1" l="1"/>
  <c r="W227" i="1"/>
  <c r="V227" i="1"/>
  <c r="T227" i="1"/>
  <c r="N227" i="1"/>
  <c r="R227" i="1"/>
  <c r="S227" i="1"/>
  <c r="U227" i="1"/>
  <c r="P227" i="1"/>
  <c r="O227" i="1"/>
  <c r="Q227" i="1"/>
  <c r="R201" i="1"/>
  <c r="W201" i="1"/>
  <c r="V201" i="1"/>
  <c r="T201" i="1"/>
  <c r="N201" i="1"/>
  <c r="S201" i="1"/>
  <c r="U201" i="1"/>
  <c r="P201" i="1"/>
  <c r="O201" i="1"/>
  <c r="Q201" i="1"/>
  <c r="M201" i="1"/>
  <c r="M227" i="1"/>
  <c r="N152" i="1"/>
  <c r="S152" i="1"/>
  <c r="U152" i="1"/>
  <c r="P152" i="1"/>
  <c r="W152" i="1"/>
  <c r="V152" i="1"/>
  <c r="T152" i="1"/>
  <c r="R152" i="1"/>
  <c r="O152" i="1"/>
  <c r="Q152" i="1"/>
  <c r="W106" i="1"/>
  <c r="V106" i="1"/>
  <c r="V306" i="1" s="1"/>
  <c r="T106" i="1"/>
  <c r="T306" i="1" s="1"/>
  <c r="N106" i="1"/>
  <c r="N306" i="1" s="1"/>
  <c r="R106" i="1"/>
  <c r="R306" i="1" s="1"/>
  <c r="S106" i="1"/>
  <c r="S306" i="1" s="1"/>
  <c r="U106" i="1"/>
  <c r="U306" i="1" s="1"/>
  <c r="P106" i="1"/>
  <c r="P306" i="1" s="1"/>
  <c r="O106" i="1"/>
  <c r="O306" i="1" s="1"/>
  <c r="Q106" i="1"/>
  <c r="Q306" i="1" s="1"/>
  <c r="M106" i="1"/>
  <c r="M306" i="1" s="1"/>
  <c r="M152" i="1"/>
  <c r="V77" i="1"/>
  <c r="T77" i="1"/>
  <c r="N77" i="1"/>
  <c r="S77" i="1"/>
  <c r="U77" i="1"/>
  <c r="P77" i="1"/>
  <c r="W77" i="1"/>
  <c r="R77" i="1"/>
  <c r="O77" i="1"/>
  <c r="Q77" i="1"/>
  <c r="W46" i="1"/>
  <c r="V46" i="1"/>
  <c r="T46" i="1"/>
  <c r="N46" i="1"/>
  <c r="R46" i="1"/>
  <c r="S46" i="1"/>
  <c r="U46" i="1"/>
  <c r="P46" i="1"/>
  <c r="O46" i="1"/>
  <c r="Q46" i="1"/>
  <c r="M46" i="1"/>
  <c r="M77" i="1"/>
  <c r="M265" i="1"/>
  <c r="L20" i="8"/>
  <c r="L26" i="8"/>
  <c r="L27" i="8"/>
  <c r="W265" i="1"/>
  <c r="W306" i="1"/>
  <c r="Q265" i="1"/>
  <c r="T265" i="1"/>
  <c r="O265" i="1"/>
  <c r="U265" i="1"/>
  <c r="L21" i="8"/>
  <c r="N265" i="1"/>
  <c r="V265" i="1"/>
  <c r="L30" i="8"/>
  <c r="L24" i="8"/>
  <c r="L25" i="8"/>
  <c r="L22" i="8"/>
  <c r="L23" i="8"/>
  <c r="R265" i="1"/>
  <c r="L28" i="8"/>
  <c r="L29" i="8"/>
  <c r="S265" i="1"/>
  <c r="P265" i="1"/>
  <c r="E11" i="8"/>
  <c r="H11" i="5"/>
  <c r="C7" i="5"/>
  <c r="L306" i="1" l="1"/>
  <c r="R266" i="1"/>
  <c r="S266" i="1"/>
  <c r="M266" i="1"/>
  <c r="O266" i="1"/>
  <c r="U266" i="1"/>
  <c r="V266" i="1"/>
  <c r="W266" i="1"/>
  <c r="Q266" i="1"/>
  <c r="N266" i="1"/>
  <c r="P266" i="1"/>
  <c r="T266" i="1"/>
  <c r="H9" i="5"/>
  <c r="C19" i="5"/>
  <c r="M282" i="1" s="1"/>
  <c r="S269" i="1" l="1"/>
  <c r="R269" i="1" s="1"/>
  <c r="Q269" i="1" s="1"/>
  <c r="P269" i="1" s="1"/>
  <c r="O269" i="1" s="1"/>
  <c r="N269" i="1" s="1"/>
  <c r="M269" i="1" s="1"/>
</calcChain>
</file>

<file path=xl/sharedStrings.xml><?xml version="1.0" encoding="utf-8"?>
<sst xmlns="http://schemas.openxmlformats.org/spreadsheetml/2006/main" count="220" uniqueCount="179">
  <si>
    <t>DATA</t>
  </si>
  <si>
    <t>CAT</t>
  </si>
  <si>
    <t>ESTABELECIMENTO</t>
  </si>
  <si>
    <t>DESCRIÇÃO</t>
  </si>
  <si>
    <t>TOT PARCELA</t>
  </si>
  <si>
    <t>1ª PARCELA VIRÁ</t>
  </si>
  <si>
    <t>VALOR</t>
  </si>
  <si>
    <t>PARCELA DO MÊS</t>
  </si>
  <si>
    <t>PARCELA</t>
  </si>
  <si>
    <t>ULTIMA PARCELA VIRÁ</t>
  </si>
  <si>
    <t>À PAGAR</t>
  </si>
  <si>
    <t>REF DE CONTAS</t>
  </si>
  <si>
    <t>CONTROLE MESES RESUMÃO</t>
  </si>
  <si>
    <t>SENHA PROT</t>
  </si>
  <si>
    <t>INDEF</t>
  </si>
  <si>
    <t>n</t>
  </si>
  <si>
    <t>mensal</t>
  </si>
  <si>
    <t>l</t>
  </si>
  <si>
    <t>anual</t>
  </si>
  <si>
    <t>ÚLTIMA COBRANÇA DO CARTÃO</t>
  </si>
  <si>
    <t>TOTAL DEVENDO</t>
  </si>
  <si>
    <t>ÚLTIMO PAGAMENTO</t>
  </si>
  <si>
    <t>SOMATÓRIO TODOS CARTÕES NO MÊS</t>
  </si>
  <si>
    <t>somatorio do mês</t>
  </si>
  <si>
    <t>FIXAS</t>
  </si>
  <si>
    <t>margem de gasto</t>
  </si>
  <si>
    <t>VALOR REFER.</t>
  </si>
  <si>
    <t>Condomínio</t>
  </si>
  <si>
    <t>INTERNET</t>
  </si>
  <si>
    <t>TOTAL FIXAS</t>
  </si>
  <si>
    <t>STATUS SALÁRIO</t>
  </si>
  <si>
    <t>SOMA FIXAS</t>
  </si>
  <si>
    <t>SOMATÓRIO DESTE MÊS</t>
  </si>
  <si>
    <t>necessario</t>
  </si>
  <si>
    <t>superfluo</t>
  </si>
  <si>
    <t>pago ou cancelado</t>
  </si>
  <si>
    <t>lazer</t>
  </si>
  <si>
    <t>presente</t>
  </si>
  <si>
    <t>outros</t>
  </si>
  <si>
    <t>SOMA do filtro</t>
  </si>
  <si>
    <t>SOMAS do filtro</t>
  </si>
  <si>
    <t>fixas + filtro - outros pagarão</t>
  </si>
  <si>
    <t>salario liquido</t>
  </si>
  <si>
    <t>CARTÃO</t>
  </si>
  <si>
    <t>OBS</t>
  </si>
  <si>
    <t>REFERÊNCIA</t>
  </si>
  <si>
    <t>marque para ignorar cartões</t>
  </si>
  <si>
    <t>ITEM</t>
  </si>
  <si>
    <t>CARTÕES</t>
  </si>
  <si>
    <t>DÉBITOS</t>
  </si>
  <si>
    <t>LOCAL</t>
  </si>
  <si>
    <t>CRÉDITOS</t>
  </si>
  <si>
    <t>STATUS</t>
  </si>
  <si>
    <t>MÊS</t>
  </si>
  <si>
    <t>TOTAL MÊS</t>
  </si>
  <si>
    <t>TOTAL GERAL</t>
  </si>
  <si>
    <t>SOMATÓRIO</t>
  </si>
  <si>
    <t>CONDOMINIO</t>
  </si>
  <si>
    <t>somatórios</t>
  </si>
  <si>
    <t>SOMA</t>
  </si>
  <si>
    <t>casa</t>
  </si>
  <si>
    <t>subtotal do filtro</t>
  </si>
  <si>
    <t>ESSENCIAL</t>
  </si>
  <si>
    <t>SALÁRIO TOTAL</t>
  </si>
  <si>
    <t>APOSENTADORIA</t>
  </si>
  <si>
    <t>EDUCAÇÃO</t>
  </si>
  <si>
    <t>OBJETIVOS</t>
  </si>
  <si>
    <t>LIVRE</t>
  </si>
  <si>
    <t>SALÁRIO</t>
  </si>
  <si>
    <t>GASTOS DO MÊS</t>
  </si>
  <si>
    <t>EXTRAS</t>
  </si>
  <si>
    <t>CUSTO C/ CARTÕES</t>
  </si>
  <si>
    <t>CUSTO C/ FIXAS</t>
  </si>
  <si>
    <t>SALDO (+/-)</t>
  </si>
  <si>
    <t>pago neste mês</t>
  </si>
  <si>
    <t>EXTRA (Ñ SALÁRIO)</t>
  </si>
  <si>
    <t>DINHEIRO LOCAL FÍSICO</t>
  </si>
  <si>
    <t>Água</t>
  </si>
  <si>
    <t>VALOR PARC</t>
  </si>
  <si>
    <t>À PAGAR APÓS ESTE MÊS -&gt;</t>
  </si>
  <si>
    <t>REDUÇÕES CARTÕES</t>
  </si>
  <si>
    <t>pagamentos efetuados</t>
  </si>
  <si>
    <t>SALDO DO MÊS</t>
  </si>
  <si>
    <t>plano de saúde</t>
  </si>
  <si>
    <t>água</t>
  </si>
  <si>
    <t>PLANO DE SAÚDE</t>
  </si>
  <si>
    <t>VALOR DO MÊS</t>
  </si>
  <si>
    <t>Seguro veículo</t>
  </si>
  <si>
    <t>Combustível</t>
  </si>
  <si>
    <t>Supermercado</t>
  </si>
  <si>
    <t>Energia</t>
  </si>
  <si>
    <t>Aluguel/Financiamento</t>
  </si>
  <si>
    <t>Poupança / Fundo de Emergência</t>
  </si>
  <si>
    <t>Internet</t>
  </si>
  <si>
    <t>Plano de saúde</t>
  </si>
  <si>
    <t>C</t>
  </si>
  <si>
    <t>carro</t>
  </si>
  <si>
    <t>N</t>
  </si>
  <si>
    <t>S</t>
  </si>
  <si>
    <t>X</t>
  </si>
  <si>
    <t>L</t>
  </si>
  <si>
    <t>P</t>
  </si>
  <si>
    <t>O</t>
  </si>
  <si>
    <t>K</t>
  </si>
  <si>
    <t>Gás / mês</t>
  </si>
  <si>
    <t>recebo em vale</t>
  </si>
  <si>
    <t>aprox mensal</t>
  </si>
  <si>
    <t>parc x 12 = seg total</t>
  </si>
  <si>
    <t>CARTÃO-01 | FINAL:XXXX</t>
  </si>
  <si>
    <t>assinatura</t>
  </si>
  <si>
    <t>plataforma de video</t>
  </si>
  <si>
    <t>faculdade x</t>
  </si>
  <si>
    <t>curso y</t>
  </si>
  <si>
    <t>PARC FIM TDS CARTÕES (sm assinaturas)</t>
  </si>
  <si>
    <t>*SE EXISTIREM ASSINATURAS CADASTRADAS NOS CARTÕES, ATENTE-SE QUE OS VALORES GERAIS ESTARÃO CONTABILIZANDO APENAS O MÊS ATUAL E O PRÓXIMO, POIS NÃO HÁ UMA DATA FIM QUANDO HÁ O CADASTRO DE UMA ASSINATURA E ISSO TAMBÉM VARIA SE A ASSINATURA É MENSAL OU ANUAL</t>
  </si>
  <si>
    <t>FONTE RENDA 1</t>
  </si>
  <si>
    <t>FONTE RENDA 2</t>
  </si>
  <si>
    <t>CONTA X</t>
  </si>
  <si>
    <t>CONTA Y</t>
  </si>
  <si>
    <t>FULANO</t>
  </si>
  <si>
    <t>BELTRANO</t>
  </si>
  <si>
    <t>VENDA DE EQUIP Z</t>
  </si>
  <si>
    <t>card1</t>
  </si>
  <si>
    <t>card2</t>
  </si>
  <si>
    <t>card3</t>
  </si>
  <si>
    <t>card4</t>
  </si>
  <si>
    <t>card5</t>
  </si>
  <si>
    <t>card6</t>
  </si>
  <si>
    <t>card7</t>
  </si>
  <si>
    <t>combustivel moto</t>
  </si>
  <si>
    <t>combustivel carro</t>
  </si>
  <si>
    <t>energia</t>
  </si>
  <si>
    <t>aluguel / financiamento</t>
  </si>
  <si>
    <t>supermercado</t>
  </si>
  <si>
    <t>seguro veículo</t>
  </si>
  <si>
    <t>condomínio</t>
  </si>
  <si>
    <t>poupança / fundo de emergência</t>
  </si>
  <si>
    <t>gás / mês</t>
  </si>
  <si>
    <t>OUTROS 1</t>
  </si>
  <si>
    <t>OUTROS 2</t>
  </si>
  <si>
    <t>% P ITEM</t>
  </si>
  <si>
    <t>DINHEIRO FISICO (LOCAL)</t>
  </si>
  <si>
    <t>JOAO</t>
  </si>
  <si>
    <t>MARIA</t>
  </si>
  <si>
    <t>CARD CONTAS COMUM</t>
  </si>
  <si>
    <t>FUNDO VIAGENS</t>
  </si>
  <si>
    <t>FUNDO MELHORIAS</t>
  </si>
  <si>
    <t>ALUGUEL / FINANCIAMENTO</t>
  </si>
  <si>
    <t>ENERGIA</t>
  </si>
  <si>
    <t>ÁGUA</t>
  </si>
  <si>
    <t>COMBUSTÍVEL</t>
  </si>
  <si>
    <t>ATIVIDADE FÍSICA</t>
  </si>
  <si>
    <t>Atividade Física</t>
  </si>
  <si>
    <t>atividade física</t>
  </si>
  <si>
    <t>POUPANÇA</t>
  </si>
  <si>
    <t>GÁS / MÊS</t>
  </si>
  <si>
    <t>SEGURO VEÍCULOS</t>
  </si>
  <si>
    <t>SUPERMERCADO</t>
  </si>
  <si>
    <t>PESSOA</t>
  </si>
  <si>
    <t>RENDA1</t>
  </si>
  <si>
    <t>RENDA2</t>
  </si>
  <si>
    <t>CASA MARIA</t>
  </si>
  <si>
    <t>TESTE</t>
  </si>
  <si>
    <t>(CARDS TOTAL - CARD ACIMA)</t>
  </si>
  <si>
    <t>CUSTO CONTAS COMUNS</t>
  </si>
  <si>
    <t>STATUS FINAL DO MÊS (+ SOBRA /- FALTA) -&gt;</t>
  </si>
  <si>
    <t>% CONTRIBUIÇÃO</t>
  </si>
  <si>
    <t>(RENDAS - CONTAS COMUNS)</t>
  </si>
  <si>
    <t>METAS PARA USO DO $$</t>
  </si>
  <si>
    <t>CARTÃO-07 | FINAL:XXXX</t>
  </si>
  <si>
    <t>CARTÃO-06 | FINAL:XXXX</t>
  </si>
  <si>
    <t>CARTÃO-05 | FINAL:XXXX</t>
  </si>
  <si>
    <t>CARTÃO-04 | FINAL:XXXX</t>
  </si>
  <si>
    <t>CARTÃO-03 | FINAL:XXXX</t>
  </si>
  <si>
    <t>CARTÃO-02 | FINAL:XXXX</t>
  </si>
  <si>
    <t>SOMA DAS RENDAS</t>
  </si>
  <si>
    <t>META - ESSENCIAL</t>
  </si>
  <si>
    <t>SOMATÓRIO - CARTAO X</t>
  </si>
  <si>
    <t>abcd1234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</si>
</sst>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&quot;R$&quot;#,##0.00"/>
  </numFmts>
  <fonts count="35" x14ac:knownFonts="1">
    <font>
      <sz val="11"/>
      <color rgb="FF000000"/>
      <name val="Calibri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rgb="FFFFFF00"/>
      <name val="Calibri"/>
      <family val="2"/>
    </font>
    <font>
      <b/>
      <sz val="11"/>
      <color theme="1"/>
      <name val="Calibri"/>
      <family val="2"/>
    </font>
    <font>
      <b/>
      <sz val="72"/>
      <color rgb="FFFFFFFF"/>
      <name val="Calibri"/>
      <family val="2"/>
    </font>
    <font>
      <b/>
      <sz val="100"/>
      <color rgb="FFFFFFFF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b/>
      <sz val="14"/>
      <color theme="1"/>
      <name val="Calibri"/>
      <family val="2"/>
    </font>
    <font>
      <b/>
      <sz val="16"/>
      <color rgb="FFFFFFFF"/>
      <name val="Calibri"/>
      <family val="2"/>
    </font>
    <font>
      <b/>
      <sz val="16"/>
      <color rgb="FFFF0000"/>
      <name val="Calibri"/>
      <family val="2"/>
    </font>
    <font>
      <b/>
      <sz val="16"/>
      <color theme="1"/>
      <name val="Calibri"/>
      <family val="2"/>
    </font>
    <font>
      <b/>
      <sz val="26"/>
      <color rgb="FFFFFFFF"/>
      <name val="Calibri"/>
      <family val="2"/>
    </font>
    <font>
      <sz val="16"/>
      <color theme="1"/>
      <name val="Calibri"/>
      <family val="2"/>
    </font>
    <font>
      <b/>
      <sz val="14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0"/>
      <color rgb="FFFF0000"/>
      <name val="Calibri"/>
      <family val="2"/>
    </font>
    <font>
      <sz val="10"/>
      <color rgb="FFFF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4"/>
      <color theme="0"/>
      <name val="Calibri"/>
      <family val="2"/>
    </font>
    <font>
      <b/>
      <sz val="12"/>
      <color rgb="FFFFFFFF"/>
      <name val="Calibri"/>
      <family val="2"/>
    </font>
    <font>
      <b/>
      <sz val="16"/>
      <color theme="0"/>
      <name val="Calibri"/>
      <family val="2"/>
    </font>
    <font>
      <b/>
      <sz val="22"/>
      <color theme="0"/>
      <name val="Berlin Sans FB"/>
      <family val="2"/>
    </font>
    <font>
      <sz val="11"/>
      <color rgb="FFFFFF00"/>
      <name val="Calibri"/>
      <family val="2"/>
    </font>
    <font>
      <b/>
      <sz val="11"/>
      <color theme="2"/>
      <name val="Calibri"/>
      <family val="2"/>
    </font>
    <font>
      <b/>
      <sz val="16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002060"/>
        <bgColor rgb="FF002060"/>
      </patternFill>
    </fill>
    <fill>
      <patternFill patternType="solid">
        <fgColor rgb="FFF4B083"/>
        <bgColor rgb="FFF4B083"/>
      </patternFill>
    </fill>
    <fill>
      <patternFill patternType="solid">
        <fgColor rgb="FF000000"/>
        <bgColor rgb="FF000000"/>
      </patternFill>
    </fill>
    <fill>
      <patternFill patternType="solid">
        <fgColor rgb="FFFF6600"/>
        <bgColor rgb="FFFF6600"/>
      </patternFill>
    </fill>
    <fill>
      <patternFill patternType="solid">
        <fgColor rgb="FF595959"/>
        <bgColor rgb="FF595959"/>
      </patternFill>
    </fill>
    <fill>
      <patternFill patternType="solid">
        <fgColor rgb="FF003300"/>
        <bgColor rgb="FF003300"/>
      </patternFill>
    </fill>
    <fill>
      <patternFill patternType="solid">
        <fgColor rgb="FFD60093"/>
        <bgColor rgb="FFD60093"/>
      </patternFill>
    </fill>
    <fill>
      <patternFill patternType="solid">
        <fgColor rgb="FFCC0099"/>
        <bgColor rgb="FFCC0099"/>
      </patternFill>
    </fill>
    <fill>
      <patternFill patternType="solid">
        <fgColor rgb="FF0070C0"/>
        <bgColor rgb="FF0070C0"/>
      </patternFill>
    </fill>
    <fill>
      <patternFill patternType="solid">
        <fgColor rgb="FF2E75B5"/>
        <bgColor rgb="FF2E75B5"/>
      </patternFill>
    </fill>
    <fill>
      <patternFill patternType="solid">
        <fgColor rgb="FFFF0000"/>
        <bgColor rgb="FFFF0000"/>
      </patternFill>
    </fill>
    <fill>
      <patternFill patternType="solid">
        <fgColor rgb="FFFF0066"/>
        <bgColor rgb="FFFF0066"/>
      </patternFill>
    </fill>
    <fill>
      <patternFill patternType="solid">
        <fgColor theme="1"/>
        <bgColor theme="1"/>
      </patternFill>
    </fill>
    <fill>
      <patternFill patternType="solid">
        <fgColor rgb="FF00FF00"/>
        <bgColor rgb="FF00FF00"/>
      </patternFill>
    </fill>
    <fill>
      <patternFill patternType="solid">
        <fgColor rgb="FFBDD6EE"/>
        <bgColor rgb="FFBDD6EE"/>
      </patternFill>
    </fill>
    <fill>
      <patternFill patternType="solid">
        <fgColor rgb="FFF2F2F2"/>
        <bgColor rgb="FFF2F2F2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002060"/>
        <bgColor rgb="FFFF0000"/>
      </patternFill>
    </fill>
    <fill>
      <patternFill patternType="solid">
        <fgColor theme="2"/>
        <bgColor rgb="FF0000FF"/>
      </patternFill>
    </fill>
    <fill>
      <patternFill patternType="solid">
        <fgColor theme="3" tint="0.34998626667073579"/>
        <bgColor rgb="FF595959"/>
      </patternFill>
    </fill>
    <fill>
      <patternFill patternType="solid">
        <fgColor theme="1"/>
        <bgColor rgb="FFFF0000"/>
      </patternFill>
    </fill>
    <fill>
      <patternFill patternType="solid">
        <fgColor theme="1"/>
        <bgColor rgb="FF595959"/>
      </patternFill>
    </fill>
    <fill>
      <patternFill patternType="solid">
        <fgColor theme="1" tint="0.34998626667073579"/>
        <bgColor rgb="FF003300"/>
      </patternFill>
    </fill>
    <fill>
      <patternFill patternType="solid">
        <fgColor theme="1" tint="0.34998626667073579"/>
        <bgColor rgb="FF595959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0C0"/>
        <bgColor rgb="FF0000FF"/>
      </patternFill>
    </fill>
    <fill>
      <patternFill patternType="solid">
        <fgColor rgb="FFCC66FF"/>
        <bgColor rgb="FF990099"/>
      </patternFill>
    </fill>
    <fill>
      <patternFill patternType="solid">
        <fgColor rgb="FF0070C0"/>
        <bgColor rgb="FFFFFF00"/>
      </patternFill>
    </fill>
    <fill>
      <patternFill patternType="solid">
        <fgColor rgb="FF0070C0"/>
        <bgColor rgb="FFF2F2F2"/>
      </patternFill>
    </fill>
    <fill>
      <patternFill patternType="solid">
        <fgColor rgb="FFCC66FF"/>
        <bgColor rgb="FFFFFF00"/>
      </patternFill>
    </fill>
    <fill>
      <patternFill patternType="solid">
        <fgColor rgb="FFCC66FF"/>
        <bgColor rgb="FFF2F2F2"/>
      </patternFill>
    </fill>
    <fill>
      <patternFill patternType="solid">
        <fgColor rgb="FF0070C0"/>
        <bgColor rgb="FF70AD47"/>
      </patternFill>
    </fill>
    <fill>
      <patternFill patternType="solid">
        <fgColor rgb="FFCC66FF"/>
        <bgColor rgb="FF70AD47"/>
      </patternFill>
    </fill>
    <fill>
      <patternFill patternType="solid">
        <fgColor theme="3" tint="0.34998626667073579"/>
        <bgColor rgb="FFFFFF00"/>
      </patternFill>
    </fill>
    <fill>
      <patternFill patternType="solid">
        <fgColor theme="3" tint="0.34998626667073579"/>
        <bgColor indexed="64"/>
      </patternFill>
    </fill>
    <fill>
      <patternFill patternType="solid">
        <fgColor theme="1"/>
        <bgColor rgb="FFCC00FF"/>
      </patternFill>
    </fill>
    <fill>
      <patternFill patternType="solid">
        <fgColor theme="1"/>
        <bgColor rgb="FF000000"/>
      </patternFill>
    </fill>
    <fill>
      <patternFill patternType="solid">
        <fgColor rgb="FF002060"/>
        <bgColor rgb="FFF2F2F2"/>
      </patternFill>
    </fill>
  </fills>
  <borders count="11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3" fillId="0" borderId="52"/>
    <xf numFmtId="9" fontId="26" fillId="0" borderId="0" applyFont="0" applyFill="0" applyBorder="0" applyAlignment="0" applyProtection="0"/>
  </cellStyleXfs>
  <cellXfs count="461">
    <xf numFmtId="0" fontId="0" fillId="0" borderId="0" xfId="0" applyFont="1" applyAlignment="1"/>
    <xf numFmtId="14" fontId="1" fillId="2" borderId="1" xfId="0" applyNumberFormat="1" applyFont="1" applyFill="1" applyBorder="1"/>
    <xf numFmtId="0" fontId="2" fillId="5" borderId="7" xfId="0" applyFont="1" applyFill="1" applyBorder="1" applyAlignment="1">
      <alignment horizontal="center" vertical="center"/>
    </xf>
    <xf numFmtId="14" fontId="1" fillId="2" borderId="7" xfId="0" applyNumberFormat="1" applyFont="1" applyFill="1" applyBorder="1"/>
    <xf numFmtId="0" fontId="1" fillId="2" borderId="7" xfId="0" applyFont="1" applyFill="1" applyBorder="1"/>
    <xf numFmtId="0" fontId="0" fillId="0" borderId="0" xfId="0" applyFont="1"/>
    <xf numFmtId="0" fontId="1" fillId="6" borderId="7" xfId="0" applyFont="1" applyFill="1" applyBorder="1" applyAlignment="1">
      <alignment horizontal="center" vertical="center"/>
    </xf>
    <xf numFmtId="164" fontId="0" fillId="0" borderId="0" xfId="0" applyNumberFormat="1" applyFont="1"/>
    <xf numFmtId="164" fontId="4" fillId="4" borderId="16" xfId="0" applyNumberFormat="1" applyFont="1" applyFill="1" applyBorder="1"/>
    <xf numFmtId="1" fontId="4" fillId="4" borderId="16" xfId="0" applyNumberFormat="1" applyFont="1" applyFill="1" applyBorder="1"/>
    <xf numFmtId="14" fontId="4" fillId="4" borderId="17" xfId="0" applyNumberFormat="1" applyFont="1" applyFill="1" applyBorder="1"/>
    <xf numFmtId="164" fontId="4" fillId="4" borderId="18" xfId="0" applyNumberFormat="1" applyFont="1" applyFill="1" applyBorder="1"/>
    <xf numFmtId="164" fontId="2" fillId="5" borderId="19" xfId="0" applyNumberFormat="1" applyFont="1" applyFill="1" applyBorder="1" applyAlignment="1">
      <alignment horizontal="center" vertical="center"/>
    </xf>
    <xf numFmtId="164" fontId="2" fillId="5" borderId="7" xfId="0" applyNumberFormat="1" applyFont="1" applyFill="1" applyBorder="1" applyAlignment="1">
      <alignment horizontal="center" vertical="center"/>
    </xf>
    <xf numFmtId="164" fontId="2" fillId="5" borderId="20" xfId="0" applyNumberFormat="1" applyFont="1" applyFill="1" applyBorder="1" applyAlignment="1">
      <alignment horizontal="center" vertical="center"/>
    </xf>
    <xf numFmtId="0" fontId="5" fillId="0" borderId="0" xfId="0" applyFont="1"/>
    <xf numFmtId="14" fontId="0" fillId="0" borderId="0" xfId="0" applyNumberFormat="1" applyFont="1"/>
    <xf numFmtId="14" fontId="7" fillId="6" borderId="6" xfId="0" applyNumberFormat="1" applyFont="1" applyFill="1" applyBorder="1"/>
    <xf numFmtId="164" fontId="7" fillId="6" borderId="5" xfId="0" applyNumberFormat="1" applyFont="1" applyFill="1" applyBorder="1"/>
    <xf numFmtId="0" fontId="6" fillId="6" borderId="11" xfId="0" applyFont="1" applyFill="1" applyBorder="1" applyAlignment="1">
      <alignment horizontal="center"/>
    </xf>
    <xf numFmtId="164" fontId="7" fillId="6" borderId="12" xfId="0" applyNumberFormat="1" applyFont="1" applyFill="1" applyBorder="1"/>
    <xf numFmtId="164" fontId="1" fillId="6" borderId="7" xfId="0" applyNumberFormat="1" applyFont="1" applyFill="1" applyBorder="1"/>
    <xf numFmtId="0" fontId="0" fillId="0" borderId="8" xfId="0" applyFont="1" applyBorder="1"/>
    <xf numFmtId="0" fontId="5" fillId="0" borderId="9" xfId="0" applyFont="1" applyBorder="1"/>
    <xf numFmtId="0" fontId="0" fillId="0" borderId="10" xfId="0" applyFont="1" applyBorder="1" applyAlignment="1">
      <alignment horizontal="center"/>
    </xf>
    <xf numFmtId="164" fontId="1" fillId="6" borderId="28" xfId="0" applyNumberFormat="1" applyFont="1" applyFill="1" applyBorder="1" applyAlignment="1">
      <alignment horizontal="center" vertical="center"/>
    </xf>
    <xf numFmtId="164" fontId="1" fillId="6" borderId="29" xfId="0" applyNumberFormat="1" applyFont="1" applyFill="1" applyBorder="1" applyAlignment="1">
      <alignment horizontal="center" vertical="center"/>
    </xf>
    <xf numFmtId="164" fontId="1" fillId="6" borderId="30" xfId="0" applyNumberFormat="1" applyFont="1" applyFill="1" applyBorder="1" applyAlignment="1">
      <alignment horizontal="center" vertical="center"/>
    </xf>
    <xf numFmtId="164" fontId="7" fillId="6" borderId="13" xfId="0" applyNumberFormat="1" applyFont="1" applyFill="1" applyBorder="1"/>
    <xf numFmtId="14" fontId="8" fillId="3" borderId="12" xfId="0" applyNumberFormat="1" applyFont="1" applyFill="1" applyBorder="1" applyAlignment="1">
      <alignment horizontal="center" vertical="center"/>
    </xf>
    <xf numFmtId="164" fontId="6" fillId="6" borderId="13" xfId="0" applyNumberFormat="1" applyFont="1" applyFill="1" applyBorder="1"/>
    <xf numFmtId="165" fontId="0" fillId="0" borderId="0" xfId="0" applyNumberFormat="1" applyFont="1"/>
    <xf numFmtId="0" fontId="2" fillId="14" borderId="11" xfId="0" applyFont="1" applyFill="1" applyBorder="1" applyAlignment="1">
      <alignment horizontal="center" vertical="center"/>
    </xf>
    <xf numFmtId="164" fontId="7" fillId="6" borderId="40" xfId="0" applyNumberFormat="1" applyFont="1" applyFill="1" applyBorder="1"/>
    <xf numFmtId="164" fontId="5" fillId="0" borderId="0" xfId="0" applyNumberFormat="1" applyFont="1"/>
    <xf numFmtId="164" fontId="6" fillId="6" borderId="42" xfId="0" applyNumberFormat="1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/>
    </xf>
    <xf numFmtId="164" fontId="2" fillId="3" borderId="43" xfId="0" applyNumberFormat="1" applyFont="1" applyFill="1" applyBorder="1" applyAlignment="1">
      <alignment horizontal="center" vertical="center"/>
    </xf>
    <xf numFmtId="0" fontId="8" fillId="0" borderId="0" xfId="0" applyFont="1"/>
    <xf numFmtId="164" fontId="8" fillId="0" borderId="0" xfId="0" applyNumberFormat="1" applyFont="1"/>
    <xf numFmtId="164" fontId="8" fillId="14" borderId="7" xfId="0" applyNumberFormat="1" applyFont="1" applyFill="1" applyBorder="1"/>
    <xf numFmtId="0" fontId="7" fillId="6" borderId="7" xfId="0" applyFont="1" applyFill="1" applyBorder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1" fillId="6" borderId="7" xfId="0" applyFont="1" applyFill="1" applyBorder="1"/>
    <xf numFmtId="164" fontId="1" fillId="4" borderId="7" xfId="0" applyNumberFormat="1" applyFont="1" applyFill="1" applyBorder="1"/>
    <xf numFmtId="0" fontId="1" fillId="8" borderId="7" xfId="0" applyFont="1" applyFill="1" applyBorder="1"/>
    <xf numFmtId="164" fontId="1" fillId="8" borderId="7" xfId="0" applyNumberFormat="1" applyFont="1" applyFill="1" applyBorder="1"/>
    <xf numFmtId="164" fontId="1" fillId="12" borderId="7" xfId="0" applyNumberFormat="1" applyFont="1" applyFill="1" applyBorder="1"/>
    <xf numFmtId="0" fontId="2" fillId="18" borderId="4" xfId="0" applyFont="1" applyFill="1" applyBorder="1" applyAlignment="1">
      <alignment horizontal="center" vertical="center"/>
    </xf>
    <xf numFmtId="0" fontId="2" fillId="18" borderId="5" xfId="0" applyFont="1" applyFill="1" applyBorder="1" applyAlignment="1">
      <alignment horizontal="center" vertical="center"/>
    </xf>
    <xf numFmtId="0" fontId="2" fillId="18" borderId="6" xfId="0" applyFont="1" applyFill="1" applyBorder="1" applyAlignment="1">
      <alignment horizontal="center" vertical="center"/>
    </xf>
    <xf numFmtId="164" fontId="0" fillId="18" borderId="36" xfId="0" applyNumberFormat="1" applyFont="1" applyFill="1" applyBorder="1"/>
    <xf numFmtId="164" fontId="0" fillId="18" borderId="18" xfId="0" applyNumberFormat="1" applyFont="1" applyFill="1" applyBorder="1"/>
    <xf numFmtId="164" fontId="0" fillId="18" borderId="17" xfId="0" applyNumberFormat="1" applyFont="1" applyFill="1" applyBorder="1"/>
    <xf numFmtId="164" fontId="0" fillId="18" borderId="16" xfId="0" applyNumberFormat="1" applyFont="1" applyFill="1" applyBorder="1"/>
    <xf numFmtId="164" fontId="0" fillId="18" borderId="44" xfId="0" applyNumberFormat="1" applyFont="1" applyFill="1" applyBorder="1"/>
    <xf numFmtId="164" fontId="0" fillId="18" borderId="37" xfId="0" applyNumberFormat="1" applyFont="1" applyFill="1" applyBorder="1"/>
    <xf numFmtId="164" fontId="2" fillId="14" borderId="55" xfId="0" applyNumberFormat="1" applyFont="1" applyFill="1" applyBorder="1" applyAlignment="1">
      <alignment vertical="center"/>
    </xf>
    <xf numFmtId="164" fontId="0" fillId="18" borderId="47" xfId="0" applyNumberFormat="1" applyFont="1" applyFill="1" applyBorder="1"/>
    <xf numFmtId="164" fontId="0" fillId="18" borderId="43" xfId="0" applyNumberFormat="1" applyFont="1" applyFill="1" applyBorder="1"/>
    <xf numFmtId="164" fontId="0" fillId="18" borderId="39" xfId="0" applyNumberFormat="1" applyFont="1" applyFill="1" applyBorder="1"/>
    <xf numFmtId="164" fontId="2" fillId="14" borderId="56" xfId="0" applyNumberFormat="1" applyFont="1" applyFill="1" applyBorder="1" applyAlignment="1">
      <alignment vertical="center"/>
    </xf>
    <xf numFmtId="0" fontId="14" fillId="6" borderId="57" xfId="0" applyFont="1" applyFill="1" applyBorder="1" applyAlignment="1">
      <alignment horizontal="center" vertical="center"/>
    </xf>
    <xf numFmtId="164" fontId="16" fillId="17" borderId="42" xfId="0" applyNumberFormat="1" applyFont="1" applyFill="1" applyBorder="1" applyAlignment="1">
      <alignment horizontal="center" vertical="center"/>
    </xf>
    <xf numFmtId="164" fontId="16" fillId="17" borderId="44" xfId="0" applyNumberFormat="1" applyFont="1" applyFill="1" applyBorder="1" applyAlignment="1">
      <alignment horizontal="center" vertical="center"/>
    </xf>
    <xf numFmtId="164" fontId="18" fillId="0" borderId="61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164" fontId="19" fillId="6" borderId="5" xfId="0" applyNumberFormat="1" applyFont="1" applyFill="1" applyBorder="1" applyAlignment="1">
      <alignment horizontal="center" vertical="center"/>
    </xf>
    <xf numFmtId="0" fontId="0" fillId="20" borderId="0" xfId="0" applyFont="1" applyFill="1" applyAlignment="1"/>
    <xf numFmtId="164" fontId="0" fillId="20" borderId="0" xfId="0" applyNumberFormat="1" applyFont="1" applyFill="1"/>
    <xf numFmtId="1" fontId="0" fillId="20" borderId="0" xfId="0" applyNumberFormat="1" applyFont="1" applyFill="1"/>
    <xf numFmtId="0" fontId="0" fillId="20" borderId="0" xfId="0" applyFont="1" applyFill="1"/>
    <xf numFmtId="0" fontId="21" fillId="0" borderId="0" xfId="0" applyFont="1" applyAlignment="1"/>
    <xf numFmtId="164" fontId="0" fillId="0" borderId="0" xfId="0" applyNumberFormat="1" applyFont="1" applyAlignment="1"/>
    <xf numFmtId="164" fontId="0" fillId="0" borderId="63" xfId="0" applyNumberFormat="1" applyFont="1" applyBorder="1" applyAlignment="1">
      <alignment horizontal="center" vertical="center"/>
    </xf>
    <xf numFmtId="0" fontId="2" fillId="22" borderId="0" xfId="0" applyFont="1" applyFill="1" applyAlignment="1">
      <alignment horizontal="right" vertical="center"/>
    </xf>
    <xf numFmtId="164" fontId="2" fillId="22" borderId="0" xfId="0" applyNumberFormat="1" applyFont="1" applyFill="1" applyAlignment="1">
      <alignment horizontal="left" vertical="center"/>
    </xf>
    <xf numFmtId="0" fontId="21" fillId="0" borderId="0" xfId="0" applyFont="1"/>
    <xf numFmtId="164" fontId="6" fillId="20" borderId="0" xfId="0" applyNumberFormat="1" applyFont="1" applyFill="1" applyAlignment="1">
      <alignment horizontal="center" vertical="center"/>
    </xf>
    <xf numFmtId="0" fontId="22" fillId="21" borderId="64" xfId="0" applyFont="1" applyFill="1" applyBorder="1" applyAlignment="1">
      <alignment horizontal="center" vertical="center"/>
    </xf>
    <xf numFmtId="0" fontId="22" fillId="21" borderId="65" xfId="0" applyFont="1" applyFill="1" applyBorder="1" applyAlignment="1">
      <alignment horizontal="center" vertical="center"/>
    </xf>
    <xf numFmtId="14" fontId="22" fillId="21" borderId="65" xfId="0" applyNumberFormat="1" applyFont="1" applyFill="1" applyBorder="1" applyAlignment="1">
      <alignment horizontal="center" vertical="center"/>
    </xf>
    <xf numFmtId="0" fontId="22" fillId="21" borderId="66" xfId="0" applyFont="1" applyFill="1" applyBorder="1" applyAlignment="1">
      <alignment horizontal="center" vertical="center"/>
    </xf>
    <xf numFmtId="164" fontId="12" fillId="24" borderId="63" xfId="0" applyNumberFormat="1" applyFont="1" applyFill="1" applyBorder="1" applyAlignment="1" applyProtection="1">
      <alignment horizontal="center" vertical="center"/>
    </xf>
    <xf numFmtId="164" fontId="12" fillId="24" borderId="70" xfId="0" applyNumberFormat="1" applyFont="1" applyFill="1" applyBorder="1" applyAlignment="1" applyProtection="1">
      <alignment horizontal="center" vertical="center"/>
    </xf>
    <xf numFmtId="14" fontId="0" fillId="0" borderId="67" xfId="0" applyNumberFormat="1" applyFont="1" applyBorder="1" applyAlignment="1" applyProtection="1">
      <alignment horizontal="center" vertical="center"/>
      <protection locked="0"/>
    </xf>
    <xf numFmtId="164" fontId="0" fillId="0" borderId="63" xfId="0" applyNumberFormat="1" applyFont="1" applyBorder="1" applyAlignment="1" applyProtection="1">
      <alignment horizontal="center" vertical="center"/>
      <protection locked="0"/>
    </xf>
    <xf numFmtId="0" fontId="0" fillId="0" borderId="67" xfId="0" applyFont="1" applyBorder="1" applyAlignment="1" applyProtection="1">
      <alignment horizontal="center" vertical="center"/>
      <protection locked="0"/>
    </xf>
    <xf numFmtId="0" fontId="0" fillId="0" borderId="69" xfId="0" applyFont="1" applyBorder="1" applyAlignment="1" applyProtection="1">
      <alignment horizontal="center" vertical="center"/>
      <protection locked="0"/>
    </xf>
    <xf numFmtId="164" fontId="0" fillId="0" borderId="70" xfId="0" applyNumberFormat="1" applyFont="1" applyBorder="1" applyAlignment="1" applyProtection="1">
      <alignment horizontal="center" vertical="center"/>
      <protection locked="0"/>
    </xf>
    <xf numFmtId="164" fontId="0" fillId="0" borderId="68" xfId="0" applyNumberFormat="1" applyFont="1" applyBorder="1" applyAlignment="1" applyProtection="1">
      <alignment horizontal="center" vertical="center"/>
      <protection locked="0"/>
    </xf>
    <xf numFmtId="164" fontId="0" fillId="0" borderId="71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164" fontId="11" fillId="25" borderId="7" xfId="0" applyNumberFormat="1" applyFont="1" applyFill="1" applyBorder="1"/>
    <xf numFmtId="0" fontId="0" fillId="0" borderId="0" xfId="0" applyFont="1" applyAlignment="1"/>
    <xf numFmtId="0" fontId="5" fillId="20" borderId="0" xfId="0" applyFont="1" applyFill="1" applyAlignment="1">
      <alignment horizontal="center"/>
    </xf>
    <xf numFmtId="164" fontId="5" fillId="20" borderId="0" xfId="0" applyNumberFormat="1" applyFont="1" applyFill="1"/>
    <xf numFmtId="0" fontId="0" fillId="0" borderId="0" xfId="0" applyFont="1" applyAlignment="1"/>
    <xf numFmtId="0" fontId="0" fillId="0" borderId="0" xfId="0" applyFont="1" applyAlignment="1"/>
    <xf numFmtId="0" fontId="5" fillId="0" borderId="60" xfId="0" applyFont="1" applyBorder="1"/>
    <xf numFmtId="0" fontId="0" fillId="0" borderId="52" xfId="0" applyFont="1" applyBorder="1" applyAlignment="1"/>
    <xf numFmtId="0" fontId="0" fillId="0" borderId="52" xfId="0" applyFont="1" applyBorder="1"/>
    <xf numFmtId="0" fontId="11" fillId="26" borderId="7" xfId="0" applyFont="1" applyFill="1" applyBorder="1" applyAlignment="1">
      <alignment horizontal="center" vertic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2" fillId="0" borderId="19" xfId="0" applyFont="1" applyBorder="1" applyAlignment="1"/>
    <xf numFmtId="0" fontId="2" fillId="0" borderId="52" xfId="0" applyFont="1" applyBorder="1" applyAlignment="1"/>
    <xf numFmtId="0" fontId="2" fillId="0" borderId="20" xfId="0" applyFont="1" applyBorder="1" applyAlignment="1"/>
    <xf numFmtId="164" fontId="22" fillId="27" borderId="77" xfId="0" applyNumberFormat="1" applyFont="1" applyFill="1" applyBorder="1" applyAlignment="1">
      <alignment vertical="center"/>
    </xf>
    <xf numFmtId="0" fontId="0" fillId="0" borderId="0" xfId="0" applyFont="1" applyAlignment="1"/>
    <xf numFmtId="0" fontId="7" fillId="23" borderId="76" xfId="0" applyFont="1" applyFill="1" applyBorder="1" applyAlignment="1">
      <alignment horizontal="center" vertical="center"/>
    </xf>
    <xf numFmtId="164" fontId="0" fillId="0" borderId="75" xfId="0" applyNumberFormat="1" applyFont="1" applyBorder="1" applyAlignment="1">
      <alignment vertical="center"/>
    </xf>
    <xf numFmtId="0" fontId="7" fillId="23" borderId="81" xfId="0" applyFont="1" applyFill="1" applyBorder="1" applyAlignment="1">
      <alignment horizontal="center" vertical="center"/>
    </xf>
    <xf numFmtId="164" fontId="0" fillId="0" borderId="82" xfId="0" applyNumberFormat="1" applyFont="1" applyBorder="1" applyAlignment="1"/>
    <xf numFmtId="164" fontId="0" fillId="0" borderId="82" xfId="0" applyNumberFormat="1" applyFont="1" applyBorder="1"/>
    <xf numFmtId="0" fontId="7" fillId="23" borderId="83" xfId="0" applyFont="1" applyFill="1" applyBorder="1" applyAlignment="1">
      <alignment horizontal="center" vertical="center"/>
    </xf>
    <xf numFmtId="164" fontId="0" fillId="0" borderId="84" xfId="0" applyNumberFormat="1" applyFont="1" applyBorder="1"/>
    <xf numFmtId="164" fontId="6" fillId="6" borderId="85" xfId="0" applyNumberFormat="1" applyFont="1" applyFill="1" applyBorder="1" applyAlignment="1">
      <alignment horizontal="center" vertical="center"/>
    </xf>
    <xf numFmtId="0" fontId="2" fillId="3" borderId="86" xfId="0" applyFont="1" applyFill="1" applyBorder="1" applyAlignment="1">
      <alignment horizontal="center" vertical="center"/>
    </xf>
    <xf numFmtId="164" fontId="8" fillId="14" borderId="80" xfId="0" applyNumberFormat="1" applyFont="1" applyFill="1" applyBorder="1" applyAlignment="1">
      <alignment horizontal="center" vertical="center"/>
    </xf>
    <xf numFmtId="0" fontId="6" fillId="16" borderId="77" xfId="0" applyFont="1" applyFill="1" applyBorder="1" applyAlignment="1">
      <alignment horizontal="center" vertical="center"/>
    </xf>
    <xf numFmtId="16" fontId="0" fillId="0" borderId="0" xfId="0" applyNumberFormat="1" applyFont="1" applyAlignment="1"/>
    <xf numFmtId="0" fontId="0" fillId="0" borderId="28" xfId="0" applyFont="1" applyBorder="1"/>
    <xf numFmtId="14" fontId="7" fillId="6" borderId="96" xfId="0" applyNumberFormat="1" applyFont="1" applyFill="1" applyBorder="1"/>
    <xf numFmtId="164" fontId="7" fillId="6" borderId="97" xfId="0" applyNumberFormat="1" applyFont="1" applyFill="1" applyBorder="1"/>
    <xf numFmtId="0" fontId="0" fillId="0" borderId="0" xfId="0" applyFont="1" applyAlignment="1"/>
    <xf numFmtId="0" fontId="5" fillId="0" borderId="0" xfId="0" applyFont="1" applyAlignment="1"/>
    <xf numFmtId="0" fontId="5" fillId="0" borderId="52" xfId="0" applyFont="1" applyBorder="1"/>
    <xf numFmtId="0" fontId="0" fillId="0" borderId="0" xfId="0" applyFont="1" applyAlignment="1"/>
    <xf numFmtId="0" fontId="0" fillId="0" borderId="0" xfId="0" applyFont="1" applyAlignment="1"/>
    <xf numFmtId="164" fontId="0" fillId="0" borderId="34" xfId="0" applyNumberFormat="1" applyFont="1" applyBorder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164" fontId="21" fillId="0" borderId="33" xfId="0" applyNumberFormat="1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164" fontId="21" fillId="0" borderId="33" xfId="0" applyNumberFormat="1" applyFont="1" applyBorder="1" applyAlignment="1">
      <alignment horizontal="center" vertical="center"/>
    </xf>
    <xf numFmtId="0" fontId="21" fillId="0" borderId="0" xfId="0" applyFont="1" applyFill="1"/>
    <xf numFmtId="0" fontId="0" fillId="0" borderId="0" xfId="0" applyFont="1" applyAlignment="1"/>
    <xf numFmtId="0" fontId="0" fillId="0" borderId="0" xfId="0" applyFont="1" applyAlignment="1"/>
    <xf numFmtId="0" fontId="21" fillId="0" borderId="52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1" fillId="20" borderId="0" xfId="0" applyFont="1" applyFill="1" applyAlignment="1">
      <alignment horizontal="center" vertical="center"/>
    </xf>
    <xf numFmtId="0" fontId="0" fillId="0" borderId="0" xfId="0" applyFont="1" applyAlignment="1"/>
    <xf numFmtId="10" fontId="0" fillId="0" borderId="88" xfId="0" applyNumberFormat="1" applyFont="1" applyBorder="1"/>
    <xf numFmtId="10" fontId="0" fillId="0" borderId="89" xfId="0" applyNumberFormat="1" applyFont="1" applyBorder="1"/>
    <xf numFmtId="10" fontId="0" fillId="0" borderId="90" xfId="0" applyNumberFormat="1" applyFont="1" applyBorder="1"/>
    <xf numFmtId="164" fontId="6" fillId="6" borderId="32" xfId="0" applyNumberFormat="1" applyFont="1" applyFill="1" applyBorder="1"/>
    <xf numFmtId="164" fontId="6" fillId="6" borderId="33" xfId="0" applyNumberFormat="1" applyFont="1" applyFill="1" applyBorder="1"/>
    <xf numFmtId="164" fontId="0" fillId="0" borderId="76" xfId="0" applyNumberFormat="1" applyFont="1" applyBorder="1"/>
    <xf numFmtId="164" fontId="0" fillId="0" borderId="93" xfId="0" applyNumberFormat="1" applyFont="1" applyBorder="1"/>
    <xf numFmtId="164" fontId="0" fillId="0" borderId="75" xfId="0" applyNumberFormat="1" applyFont="1" applyBorder="1"/>
    <xf numFmtId="164" fontId="0" fillId="0" borderId="83" xfId="0" applyNumberFormat="1" applyFont="1" applyBorder="1"/>
    <xf numFmtId="164" fontId="0" fillId="0" borderId="98" xfId="0" applyNumberFormat="1" applyFont="1" applyBorder="1"/>
    <xf numFmtId="0" fontId="2" fillId="3" borderId="63" xfId="0" applyFont="1" applyFill="1" applyBorder="1" applyAlignment="1">
      <alignment horizontal="center" vertical="center"/>
    </xf>
    <xf numFmtId="0" fontId="2" fillId="3" borderId="67" xfId="0" applyFont="1" applyFill="1" applyBorder="1" applyAlignment="1">
      <alignment horizontal="center" vertical="center"/>
    </xf>
    <xf numFmtId="164" fontId="2" fillId="17" borderId="68" xfId="0" applyNumberFormat="1" applyFont="1" applyFill="1" applyBorder="1" applyAlignment="1">
      <alignment horizontal="center" vertical="center"/>
    </xf>
    <xf numFmtId="164" fontId="1" fillId="16" borderId="71" xfId="0" applyNumberFormat="1" applyFont="1" applyFill="1" applyBorder="1" applyAlignment="1">
      <alignment horizontal="center" vertical="center"/>
    </xf>
    <xf numFmtId="0" fontId="2" fillId="17" borderId="67" xfId="0" applyFont="1" applyFill="1" applyBorder="1" applyAlignment="1">
      <alignment horizontal="center" vertical="center"/>
    </xf>
    <xf numFmtId="0" fontId="1" fillId="6" borderId="69" xfId="0" applyFont="1" applyFill="1" applyBorder="1" applyAlignment="1">
      <alignment horizontal="center" vertical="center"/>
    </xf>
    <xf numFmtId="164" fontId="0" fillId="0" borderId="52" xfId="0" applyNumberFormat="1" applyFont="1" applyBorder="1" applyAlignment="1">
      <alignment vertical="center"/>
    </xf>
    <xf numFmtId="164" fontId="0" fillId="0" borderId="52" xfId="0" applyNumberFormat="1" applyFont="1" applyBorder="1" applyAlignment="1"/>
    <xf numFmtId="164" fontId="0" fillId="0" borderId="52" xfId="0" applyNumberFormat="1" applyFont="1" applyBorder="1"/>
    <xf numFmtId="0" fontId="21" fillId="0" borderId="84" xfId="0" applyFont="1" applyBorder="1" applyAlignment="1">
      <alignment horizontal="center"/>
    </xf>
    <xf numFmtId="0" fontId="21" fillId="20" borderId="75" xfId="0" applyFont="1" applyFill="1" applyBorder="1" applyAlignment="1">
      <alignment horizontal="center"/>
    </xf>
    <xf numFmtId="0" fontId="21" fillId="20" borderId="82" xfId="0" applyFont="1" applyFill="1" applyBorder="1" applyAlignment="1">
      <alignment horizontal="center"/>
    </xf>
    <xf numFmtId="0" fontId="13" fillId="19" borderId="103" xfId="0" applyFont="1" applyFill="1" applyBorder="1" applyAlignment="1">
      <alignment horizontal="left" vertical="center"/>
    </xf>
    <xf numFmtId="164" fontId="13" fillId="19" borderId="97" xfId="0" applyNumberFormat="1" applyFont="1" applyFill="1" applyBorder="1" applyAlignment="1">
      <alignment horizontal="center" vertical="center"/>
    </xf>
    <xf numFmtId="0" fontId="28" fillId="23" borderId="2" xfId="0" applyFont="1" applyFill="1" applyBorder="1" applyAlignment="1">
      <alignment horizontal="center" vertical="center"/>
    </xf>
    <xf numFmtId="0" fontId="28" fillId="23" borderId="5" xfId="0" applyFont="1" applyFill="1" applyBorder="1" applyAlignment="1">
      <alignment horizontal="center" vertical="center"/>
    </xf>
    <xf numFmtId="0" fontId="30" fillId="6" borderId="58" xfId="0" applyFont="1" applyFill="1" applyBorder="1" applyAlignment="1">
      <alignment horizontal="center" vertical="center"/>
    </xf>
    <xf numFmtId="164" fontId="15" fillId="29" borderId="59" xfId="0" applyNumberFormat="1" applyFont="1" applyFill="1" applyBorder="1" applyAlignment="1">
      <alignment horizontal="center" vertical="center"/>
    </xf>
    <xf numFmtId="164" fontId="15" fillId="29" borderId="16" xfId="0" applyNumberFormat="1" applyFont="1" applyFill="1" applyBorder="1" applyAlignment="1">
      <alignment horizontal="center" vertical="center"/>
    </xf>
    <xf numFmtId="0" fontId="30" fillId="34" borderId="41" xfId="0" applyFont="1" applyFill="1" applyBorder="1" applyAlignment="1">
      <alignment horizontal="center" vertical="center"/>
    </xf>
    <xf numFmtId="164" fontId="30" fillId="34" borderId="59" xfId="0" applyNumberFormat="1" applyFont="1" applyFill="1" applyBorder="1" applyAlignment="1">
      <alignment horizontal="center" vertical="center"/>
    </xf>
    <xf numFmtId="0" fontId="30" fillId="35" borderId="14" xfId="0" applyFont="1" applyFill="1" applyBorder="1" applyAlignment="1">
      <alignment horizontal="center" vertical="center"/>
    </xf>
    <xf numFmtId="164" fontId="30" fillId="35" borderId="16" xfId="0" applyNumberFormat="1" applyFont="1" applyFill="1" applyBorder="1" applyAlignment="1">
      <alignment horizontal="center" vertical="center"/>
    </xf>
    <xf numFmtId="0" fontId="28" fillId="36" borderId="5" xfId="0" applyFont="1" applyFill="1" applyBorder="1" applyAlignment="1">
      <alignment horizontal="center" vertical="center"/>
    </xf>
    <xf numFmtId="164" fontId="28" fillId="37" borderId="18" xfId="0" applyNumberFormat="1" applyFont="1" applyFill="1" applyBorder="1" applyAlignment="1">
      <alignment horizontal="center" vertical="center"/>
    </xf>
    <xf numFmtId="0" fontId="28" fillId="38" borderId="5" xfId="0" applyFont="1" applyFill="1" applyBorder="1" applyAlignment="1">
      <alignment horizontal="center" vertical="center"/>
    </xf>
    <xf numFmtId="164" fontId="28" fillId="39" borderId="18" xfId="0" applyNumberFormat="1" applyFont="1" applyFill="1" applyBorder="1" applyAlignment="1">
      <alignment horizontal="center" vertical="center"/>
    </xf>
    <xf numFmtId="0" fontId="30" fillId="23" borderId="38" xfId="0" applyFont="1" applyFill="1" applyBorder="1" applyAlignment="1">
      <alignment horizontal="center" vertical="center"/>
    </xf>
    <xf numFmtId="164" fontId="30" fillId="23" borderId="47" xfId="0" applyNumberFormat="1" applyFont="1" applyFill="1" applyBorder="1" applyAlignment="1">
      <alignment horizontal="center" vertical="center"/>
    </xf>
    <xf numFmtId="10" fontId="30" fillId="23" borderId="47" xfId="0" applyNumberFormat="1" applyFont="1" applyFill="1" applyBorder="1" applyAlignment="1">
      <alignment horizontal="center" vertical="center"/>
    </xf>
    <xf numFmtId="164" fontId="30" fillId="23" borderId="43" xfId="0" applyNumberFormat="1" applyFont="1" applyFill="1" applyBorder="1" applyAlignment="1">
      <alignment horizontal="center" vertical="center"/>
    </xf>
    <xf numFmtId="10" fontId="14" fillId="40" borderId="59" xfId="0" applyNumberFormat="1" applyFont="1" applyFill="1" applyBorder="1" applyAlignment="1">
      <alignment horizontal="center" vertical="center"/>
    </xf>
    <xf numFmtId="10" fontId="14" fillId="41" borderId="16" xfId="0" applyNumberFormat="1" applyFont="1" applyFill="1" applyBorder="1" applyAlignment="1">
      <alignment horizontal="center" vertical="center"/>
    </xf>
    <xf numFmtId="0" fontId="6" fillId="29" borderId="91" xfId="0" applyFont="1" applyFill="1" applyBorder="1" applyAlignment="1">
      <alignment horizontal="center" vertical="center"/>
    </xf>
    <xf numFmtId="164" fontId="6" fillId="29" borderId="92" xfId="0" applyNumberFormat="1" applyFont="1" applyFill="1" applyBorder="1" applyAlignment="1">
      <alignment horizontal="center" vertical="center"/>
    </xf>
    <xf numFmtId="0" fontId="7" fillId="23" borderId="35" xfId="0" applyFont="1" applyFill="1" applyBorder="1"/>
    <xf numFmtId="0" fontId="7" fillId="23" borderId="36" xfId="0" applyFont="1" applyFill="1" applyBorder="1" applyAlignment="1">
      <alignment horizontal="right"/>
    </xf>
    <xf numFmtId="0" fontId="7" fillId="23" borderId="14" xfId="0" applyFont="1" applyFill="1" applyBorder="1"/>
    <xf numFmtId="0" fontId="7" fillId="23" borderId="16" xfId="0" applyFont="1" applyFill="1" applyBorder="1" applyAlignment="1">
      <alignment horizontal="right"/>
    </xf>
    <xf numFmtId="0" fontId="7" fillId="23" borderId="38" xfId="0" applyFont="1" applyFill="1" applyBorder="1"/>
    <xf numFmtId="0" fontId="7" fillId="23" borderId="47" xfId="0" applyFont="1" applyFill="1" applyBorder="1" applyAlignment="1">
      <alignment horizontal="right"/>
    </xf>
    <xf numFmtId="164" fontId="11" fillId="42" borderId="36" xfId="0" applyNumberFormat="1" applyFont="1" applyFill="1" applyBorder="1" applyAlignment="1">
      <alignment horizontal="center"/>
    </xf>
    <xf numFmtId="164" fontId="11" fillId="42" borderId="16" xfId="0" applyNumberFormat="1" applyFont="1" applyFill="1" applyBorder="1" applyAlignment="1">
      <alignment horizontal="center"/>
    </xf>
    <xf numFmtId="164" fontId="11" fillId="42" borderId="47" xfId="0" applyNumberFormat="1" applyFont="1" applyFill="1" applyBorder="1" applyAlignment="1">
      <alignment horizontal="center"/>
    </xf>
    <xf numFmtId="0" fontId="11" fillId="43" borderId="21" xfId="0" applyFont="1" applyFill="1" applyBorder="1" applyAlignment="1">
      <alignment horizontal="center" vertical="center"/>
    </xf>
    <xf numFmtId="0" fontId="11" fillId="20" borderId="78" xfId="0" applyFont="1" applyFill="1" applyBorder="1" applyAlignment="1">
      <alignment horizontal="center" vertical="center"/>
    </xf>
    <xf numFmtId="164" fontId="11" fillId="20" borderId="77" xfId="0" applyNumberFormat="1" applyFont="1" applyFill="1" applyBorder="1" applyAlignment="1">
      <alignment horizontal="center" vertical="center"/>
    </xf>
    <xf numFmtId="14" fontId="1" fillId="8" borderId="14" xfId="0" applyNumberFormat="1" applyFont="1" applyFill="1" applyBorder="1" applyProtection="1">
      <protection locked="0"/>
    </xf>
    <xf numFmtId="14" fontId="1" fillId="8" borderId="15" xfId="0" applyNumberFormat="1" applyFont="1" applyFill="1" applyBorder="1" applyProtection="1">
      <protection locked="0"/>
    </xf>
    <xf numFmtId="14" fontId="1" fillId="8" borderId="16" xfId="0" applyNumberFormat="1" applyFont="1" applyFill="1" applyBorder="1" applyProtection="1">
      <protection locked="0"/>
    </xf>
    <xf numFmtId="0" fontId="1" fillId="8" borderId="16" xfId="0" applyNumberFormat="1" applyFont="1" applyFill="1" applyBorder="1" applyProtection="1">
      <protection locked="0"/>
    </xf>
    <xf numFmtId="0" fontId="1" fillId="8" borderId="16" xfId="0" applyFont="1" applyFill="1" applyBorder="1" applyProtection="1">
      <protection locked="0"/>
    </xf>
    <xf numFmtId="164" fontId="1" fillId="8" borderId="16" xfId="0" applyNumberFormat="1" applyFont="1" applyFill="1" applyBorder="1" applyProtection="1">
      <protection locked="0"/>
    </xf>
    <xf numFmtId="164" fontId="1" fillId="28" borderId="16" xfId="0" applyNumberFormat="1" applyFont="1" applyFill="1" applyBorder="1" applyProtection="1">
      <protection locked="0"/>
    </xf>
    <xf numFmtId="14" fontId="1" fillId="8" borderId="49" xfId="0" applyNumberFormat="1" applyFont="1" applyFill="1" applyBorder="1" applyProtection="1">
      <protection locked="0"/>
    </xf>
    <xf numFmtId="14" fontId="1" fillId="8" borderId="94" xfId="0" applyNumberFormat="1" applyFont="1" applyFill="1" applyBorder="1" applyProtection="1">
      <protection locked="0"/>
    </xf>
    <xf numFmtId="14" fontId="1" fillId="8" borderId="62" xfId="0" applyNumberFormat="1" applyFont="1" applyFill="1" applyBorder="1" applyProtection="1">
      <protection locked="0"/>
    </xf>
    <xf numFmtId="0" fontId="1" fillId="8" borderId="62" xfId="0" applyNumberFormat="1" applyFont="1" applyFill="1" applyBorder="1" applyProtection="1">
      <protection locked="0"/>
    </xf>
    <xf numFmtId="0" fontId="1" fillId="8" borderId="62" xfId="0" applyFont="1" applyFill="1" applyBorder="1" applyProtection="1">
      <protection locked="0"/>
    </xf>
    <xf numFmtId="164" fontId="1" fillId="8" borderId="62" xfId="0" applyNumberFormat="1" applyFont="1" applyFill="1" applyBorder="1" applyProtection="1">
      <protection locked="0"/>
    </xf>
    <xf numFmtId="14" fontId="22" fillId="0" borderId="12" xfId="0" applyNumberFormat="1" applyFont="1" applyFill="1" applyBorder="1" applyAlignment="1" applyProtection="1">
      <alignment horizontal="center" vertical="center"/>
      <protection locked="0"/>
    </xf>
    <xf numFmtId="0" fontId="33" fillId="44" borderId="12" xfId="0" applyFont="1" applyFill="1" applyBorder="1" applyAlignment="1">
      <alignment horizontal="center" vertical="center"/>
    </xf>
    <xf numFmtId="164" fontId="4" fillId="4" borderId="16" xfId="0" applyNumberFormat="1" applyFont="1" applyFill="1" applyBorder="1" applyProtection="1"/>
    <xf numFmtId="1" fontId="4" fillId="4" borderId="16" xfId="0" applyNumberFormat="1" applyFont="1" applyFill="1" applyBorder="1" applyProtection="1"/>
    <xf numFmtId="14" fontId="4" fillId="4" borderId="17" xfId="0" applyNumberFormat="1" applyFont="1" applyFill="1" applyBorder="1" applyProtection="1"/>
    <xf numFmtId="164" fontId="4" fillId="4" borderId="18" xfId="0" applyNumberFormat="1" applyFont="1" applyFill="1" applyBorder="1" applyProtection="1"/>
    <xf numFmtId="164" fontId="2" fillId="5" borderId="19" xfId="0" applyNumberFormat="1" applyFont="1" applyFill="1" applyBorder="1" applyAlignment="1" applyProtection="1">
      <alignment horizontal="center" vertical="center"/>
    </xf>
    <xf numFmtId="164" fontId="2" fillId="5" borderId="7" xfId="0" applyNumberFormat="1" applyFont="1" applyFill="1" applyBorder="1" applyAlignment="1" applyProtection="1">
      <alignment horizontal="center" vertical="center"/>
    </xf>
    <xf numFmtId="164" fontId="2" fillId="5" borderId="20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 applyProtection="1"/>
    <xf numFmtId="0" fontId="0" fillId="0" borderId="0" xfId="0" applyFont="1" applyProtection="1"/>
    <xf numFmtId="164" fontId="7" fillId="6" borderId="97" xfId="0" applyNumberFormat="1" applyFont="1" applyFill="1" applyBorder="1" applyProtection="1"/>
    <xf numFmtId="0" fontId="6" fillId="6" borderId="11" xfId="0" applyFont="1" applyFill="1" applyBorder="1" applyAlignment="1" applyProtection="1">
      <alignment horizontal="center"/>
    </xf>
    <xf numFmtId="164" fontId="7" fillId="6" borderId="12" xfId="0" applyNumberFormat="1" applyFont="1" applyFill="1" applyBorder="1" applyProtection="1"/>
    <xf numFmtId="164" fontId="1" fillId="6" borderId="25" xfId="0" applyNumberFormat="1" applyFont="1" applyFill="1" applyBorder="1" applyAlignment="1" applyProtection="1">
      <alignment horizontal="center" vertical="center"/>
    </xf>
    <xf numFmtId="164" fontId="1" fillId="6" borderId="26" xfId="0" applyNumberFormat="1" applyFont="1" applyFill="1" applyBorder="1" applyAlignment="1" applyProtection="1">
      <alignment horizontal="center" vertical="center"/>
    </xf>
    <xf numFmtId="164" fontId="1" fillId="6" borderId="27" xfId="0" applyNumberFormat="1" applyFont="1" applyFill="1" applyBorder="1" applyAlignment="1" applyProtection="1">
      <alignment horizontal="center" vertical="center"/>
    </xf>
    <xf numFmtId="164" fontId="1" fillId="6" borderId="7" xfId="0" applyNumberFormat="1" applyFont="1" applyFill="1" applyBorder="1" applyProtection="1"/>
    <xf numFmtId="1" fontId="1" fillId="15" borderId="35" xfId="0" applyNumberFormat="1" applyFont="1" applyFill="1" applyBorder="1" applyProtection="1">
      <protection locked="0"/>
    </xf>
    <xf numFmtId="164" fontId="4" fillId="4" borderId="17" xfId="0" applyNumberFormat="1" applyFont="1" applyFill="1" applyBorder="1" applyAlignment="1" applyProtection="1">
      <alignment horizontal="right" vertical="center"/>
      <protection locked="0"/>
    </xf>
    <xf numFmtId="164" fontId="1" fillId="15" borderId="17" xfId="0" applyNumberFormat="1" applyFont="1" applyFill="1" applyBorder="1" applyAlignment="1" applyProtection="1">
      <alignment horizontal="center" vertical="center"/>
      <protection locked="0"/>
    </xf>
    <xf numFmtId="164" fontId="1" fillId="15" borderId="36" xfId="0" applyNumberFormat="1" applyFont="1" applyFill="1" applyBorder="1" applyAlignment="1" applyProtection="1">
      <alignment horizontal="center" vertical="center"/>
      <protection locked="0"/>
    </xf>
    <xf numFmtId="1" fontId="1" fillId="15" borderId="14" xfId="0" applyNumberFormat="1" applyFont="1" applyFill="1" applyBorder="1" applyProtection="1">
      <protection locked="0"/>
    </xf>
    <xf numFmtId="164" fontId="4" fillId="4" borderId="37" xfId="0" applyNumberFormat="1" applyFont="1" applyFill="1" applyBorder="1" applyAlignment="1" applyProtection="1">
      <alignment horizontal="right" vertical="center"/>
      <protection locked="0"/>
    </xf>
    <xf numFmtId="164" fontId="1" fillId="15" borderId="16" xfId="0" applyNumberFormat="1" applyFont="1" applyFill="1" applyBorder="1" applyAlignment="1" applyProtection="1">
      <alignment horizontal="center" vertical="center"/>
      <protection locked="0"/>
    </xf>
    <xf numFmtId="164" fontId="1" fillId="15" borderId="37" xfId="0" applyNumberFormat="1" applyFont="1" applyFill="1" applyBorder="1" applyAlignment="1" applyProtection="1">
      <alignment horizontal="center" vertical="center"/>
      <protection locked="0"/>
    </xf>
    <xf numFmtId="164" fontId="4" fillId="4" borderId="37" xfId="0" applyNumberFormat="1" applyFont="1" applyFill="1" applyBorder="1" applyProtection="1">
      <protection locked="0"/>
    </xf>
    <xf numFmtId="164" fontId="1" fillId="15" borderId="37" xfId="0" applyNumberFormat="1" applyFont="1" applyFill="1" applyBorder="1" applyAlignment="1" applyProtection="1">
      <alignment horizontal="center"/>
      <protection locked="0"/>
    </xf>
    <xf numFmtId="1" fontId="1" fillId="15" borderId="49" xfId="0" applyNumberFormat="1" applyFont="1" applyFill="1" applyBorder="1" applyProtection="1">
      <protection locked="0"/>
    </xf>
    <xf numFmtId="164" fontId="4" fillId="4" borderId="99" xfId="0" applyNumberFormat="1" applyFont="1" applyFill="1" applyBorder="1" applyProtection="1">
      <protection locked="0"/>
    </xf>
    <xf numFmtId="1" fontId="1" fillId="15" borderId="38" xfId="0" applyNumberFormat="1" applyFont="1" applyFill="1" applyBorder="1" applyAlignment="1" applyProtection="1">
      <alignment horizontal="right"/>
    </xf>
    <xf numFmtId="164" fontId="4" fillId="4" borderId="39" xfId="0" applyNumberFormat="1" applyFont="1" applyFill="1" applyBorder="1" applyProtection="1"/>
    <xf numFmtId="164" fontId="1" fillId="15" borderId="16" xfId="0" applyNumberFormat="1" applyFont="1" applyFill="1" applyBorder="1" applyAlignment="1" applyProtection="1">
      <alignment horizontal="center" vertical="center"/>
    </xf>
    <xf numFmtId="164" fontId="1" fillId="15" borderId="62" xfId="0" applyNumberFormat="1" applyFont="1" applyFill="1" applyBorder="1" applyAlignment="1" applyProtection="1">
      <alignment horizontal="center" vertical="center"/>
    </xf>
    <xf numFmtId="14" fontId="1" fillId="14" borderId="14" xfId="0" applyNumberFormat="1" applyFont="1" applyFill="1" applyBorder="1" applyProtection="1">
      <protection locked="0"/>
    </xf>
    <xf numFmtId="14" fontId="1" fillId="14" borderId="15" xfId="0" applyNumberFormat="1" applyFont="1" applyFill="1" applyBorder="1" applyProtection="1">
      <protection locked="0"/>
    </xf>
    <xf numFmtId="14" fontId="1" fillId="14" borderId="16" xfId="0" applyNumberFormat="1" applyFont="1" applyFill="1" applyBorder="1" applyProtection="1">
      <protection locked="0"/>
    </xf>
    <xf numFmtId="0" fontId="1" fillId="14" borderId="16" xfId="0" applyFont="1" applyFill="1" applyBorder="1" applyProtection="1">
      <protection locked="0"/>
    </xf>
    <xf numFmtId="164" fontId="1" fillId="14" borderId="16" xfId="0" applyNumberFormat="1" applyFont="1" applyFill="1" applyBorder="1" applyProtection="1">
      <protection locked="0"/>
    </xf>
    <xf numFmtId="0" fontId="11" fillId="14" borderId="16" xfId="0" applyFont="1" applyFill="1" applyBorder="1" applyProtection="1">
      <protection locked="0"/>
    </xf>
    <xf numFmtId="14" fontId="1" fillId="12" borderId="14" xfId="0" applyNumberFormat="1" applyFont="1" applyFill="1" applyBorder="1" applyProtection="1">
      <protection locked="0"/>
    </xf>
    <xf numFmtId="14" fontId="1" fillId="12" borderId="15" xfId="0" applyNumberFormat="1" applyFont="1" applyFill="1" applyBorder="1" applyProtection="1">
      <protection locked="0"/>
    </xf>
    <xf numFmtId="14" fontId="1" fillId="12" borderId="16" xfId="0" applyNumberFormat="1" applyFont="1" applyFill="1" applyBorder="1" applyProtection="1">
      <protection locked="0"/>
    </xf>
    <xf numFmtId="0" fontId="1" fillId="12" borderId="16" xfId="0" applyFont="1" applyFill="1" applyBorder="1" applyProtection="1">
      <protection locked="0"/>
    </xf>
    <xf numFmtId="164" fontId="1" fillId="12" borderId="16" xfId="0" applyNumberFormat="1" applyFont="1" applyFill="1" applyBorder="1" applyProtection="1">
      <protection locked="0"/>
    </xf>
    <xf numFmtId="14" fontId="1" fillId="10" borderId="14" xfId="0" applyNumberFormat="1" applyFont="1" applyFill="1" applyBorder="1" applyProtection="1">
      <protection locked="0"/>
    </xf>
    <xf numFmtId="14" fontId="1" fillId="10" borderId="15" xfId="0" applyNumberFormat="1" applyFont="1" applyFill="1" applyBorder="1" applyProtection="1">
      <protection locked="0"/>
    </xf>
    <xf numFmtId="14" fontId="1" fillId="10" borderId="16" xfId="0" applyNumberFormat="1" applyFont="1" applyFill="1" applyBorder="1" applyProtection="1">
      <protection locked="0"/>
    </xf>
    <xf numFmtId="0" fontId="1" fillId="10" borderId="16" xfId="0" applyFont="1" applyFill="1" applyBorder="1" applyProtection="1">
      <protection locked="0"/>
    </xf>
    <xf numFmtId="164" fontId="1" fillId="10" borderId="16" xfId="0" applyNumberFormat="1" applyFont="1" applyFill="1" applyBorder="1" applyProtection="1">
      <protection locked="0"/>
    </xf>
    <xf numFmtId="14" fontId="20" fillId="10" borderId="15" xfId="0" applyNumberFormat="1" applyFont="1" applyFill="1" applyBorder="1" applyProtection="1">
      <protection locked="0"/>
    </xf>
    <xf numFmtId="14" fontId="20" fillId="10" borderId="16" xfId="0" applyNumberFormat="1" applyFont="1" applyFill="1" applyBorder="1" applyProtection="1">
      <protection locked="0"/>
    </xf>
    <xf numFmtId="14" fontId="2" fillId="2" borderId="14" xfId="0" applyNumberFormat="1" applyFont="1" applyFill="1" applyBorder="1" applyProtection="1">
      <protection locked="0"/>
    </xf>
    <xf numFmtId="14" fontId="2" fillId="2" borderId="15" xfId="0" applyNumberFormat="1" applyFont="1" applyFill="1" applyBorder="1" applyProtection="1">
      <protection locked="0"/>
    </xf>
    <xf numFmtId="14" fontId="2" fillId="2" borderId="16" xfId="0" applyNumberFormat="1" applyFont="1" applyFill="1" applyBorder="1" applyProtection="1">
      <protection locked="0"/>
    </xf>
    <xf numFmtId="0" fontId="2" fillId="2" borderId="16" xfId="0" applyFont="1" applyFill="1" applyBorder="1" applyProtection="1">
      <protection locked="0"/>
    </xf>
    <xf numFmtId="164" fontId="2" fillId="2" borderId="16" xfId="0" applyNumberFormat="1" applyFont="1" applyFill="1" applyBorder="1" applyProtection="1">
      <protection locked="0"/>
    </xf>
    <xf numFmtId="14" fontId="2" fillId="2" borderId="49" xfId="0" applyNumberFormat="1" applyFont="1" applyFill="1" applyBorder="1" applyProtection="1">
      <protection locked="0"/>
    </xf>
    <xf numFmtId="14" fontId="2" fillId="2" borderId="94" xfId="0" applyNumberFormat="1" applyFont="1" applyFill="1" applyBorder="1" applyProtection="1">
      <protection locked="0"/>
    </xf>
    <xf numFmtId="14" fontId="2" fillId="2" borderId="62" xfId="0" applyNumberFormat="1" applyFont="1" applyFill="1" applyBorder="1" applyProtection="1">
      <protection locked="0"/>
    </xf>
    <xf numFmtId="0" fontId="2" fillId="2" borderId="62" xfId="0" applyFont="1" applyFill="1" applyBorder="1" applyProtection="1">
      <protection locked="0"/>
    </xf>
    <xf numFmtId="164" fontId="2" fillId="2" borderId="62" xfId="0" applyNumberFormat="1" applyFont="1" applyFill="1" applyBorder="1" applyProtection="1">
      <protection locked="0"/>
    </xf>
    <xf numFmtId="14" fontId="1" fillId="30" borderId="14" xfId="0" applyNumberFormat="1" applyFont="1" applyFill="1" applyBorder="1" applyProtection="1">
      <protection locked="0"/>
    </xf>
    <xf numFmtId="14" fontId="1" fillId="30" borderId="15" xfId="0" applyNumberFormat="1" applyFont="1" applyFill="1" applyBorder="1" applyProtection="1">
      <protection locked="0"/>
    </xf>
    <xf numFmtId="14" fontId="1" fillId="30" borderId="16" xfId="0" applyNumberFormat="1" applyFont="1" applyFill="1" applyBorder="1" applyProtection="1">
      <protection locked="0"/>
    </xf>
    <xf numFmtId="0" fontId="1" fillId="6" borderId="16" xfId="0" applyFont="1" applyFill="1" applyBorder="1" applyProtection="1">
      <protection locked="0"/>
    </xf>
    <xf numFmtId="14" fontId="1" fillId="6" borderId="16" xfId="0" applyNumberFormat="1" applyFont="1" applyFill="1" applyBorder="1" applyProtection="1">
      <protection locked="0"/>
    </xf>
    <xf numFmtId="164" fontId="1" fillId="6" borderId="16" xfId="0" applyNumberFormat="1" applyFont="1" applyFill="1" applyBorder="1" applyProtection="1">
      <protection locked="0"/>
    </xf>
    <xf numFmtId="14" fontId="1" fillId="9" borderId="14" xfId="0" applyNumberFormat="1" applyFont="1" applyFill="1" applyBorder="1" applyProtection="1">
      <protection locked="0"/>
    </xf>
    <xf numFmtId="14" fontId="1" fillId="9" borderId="15" xfId="0" applyNumberFormat="1" applyFont="1" applyFill="1" applyBorder="1" applyProtection="1">
      <protection locked="0"/>
    </xf>
    <xf numFmtId="14" fontId="1" fillId="9" borderId="16" xfId="0" applyNumberFormat="1" applyFont="1" applyFill="1" applyBorder="1" applyProtection="1">
      <protection locked="0"/>
    </xf>
    <xf numFmtId="0" fontId="1" fillId="9" borderId="16" xfId="0" applyFont="1" applyFill="1" applyBorder="1" applyProtection="1">
      <protection locked="0"/>
    </xf>
    <xf numFmtId="164" fontId="1" fillId="9" borderId="16" xfId="0" applyNumberFormat="1" applyFont="1" applyFill="1" applyBorder="1" applyProtection="1">
      <protection locked="0"/>
    </xf>
    <xf numFmtId="164" fontId="1" fillId="9" borderId="16" xfId="0" quotePrefix="1" applyNumberFormat="1" applyFont="1" applyFill="1" applyBorder="1" applyProtection="1">
      <protection locked="0"/>
    </xf>
    <xf numFmtId="0" fontId="1" fillId="9" borderId="62" xfId="0" applyFont="1" applyFill="1" applyBorder="1" applyProtection="1">
      <protection locked="0"/>
    </xf>
    <xf numFmtId="14" fontId="1" fillId="9" borderId="62" xfId="0" applyNumberFormat="1" applyFont="1" applyFill="1" applyBorder="1" applyProtection="1">
      <protection locked="0"/>
    </xf>
    <xf numFmtId="164" fontId="1" fillId="9" borderId="62" xfId="0" applyNumberFormat="1" applyFont="1" applyFill="1" applyBorder="1" applyProtection="1"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3" borderId="3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center" vertical="center"/>
      <protection locked="0"/>
    </xf>
    <xf numFmtId="0" fontId="2" fillId="3" borderId="5" xfId="0" applyFont="1" applyFill="1" applyBorder="1" applyAlignment="1" applyProtection="1">
      <alignment horizontal="center" vertical="center"/>
      <protection locked="0"/>
    </xf>
    <xf numFmtId="0" fontId="1" fillId="4" borderId="6" xfId="0" applyFont="1" applyFill="1" applyBorder="1" applyAlignment="1" applyProtection="1">
      <alignment horizontal="center" vertical="center"/>
      <protection locked="0"/>
    </xf>
    <xf numFmtId="0" fontId="1" fillId="4" borderId="4" xfId="0" applyFont="1" applyFill="1" applyBorder="1" applyAlignment="1" applyProtection="1">
      <alignment horizontal="center" vertical="center"/>
      <protection locked="0"/>
    </xf>
    <xf numFmtId="0" fontId="5" fillId="0" borderId="33" xfId="0" applyFont="1" applyBorder="1"/>
    <xf numFmtId="0" fontId="33" fillId="44" borderId="33" xfId="0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/>
    </xf>
    <xf numFmtId="164" fontId="4" fillId="4" borderId="36" xfId="0" applyNumberFormat="1" applyFont="1" applyFill="1" applyBorder="1"/>
    <xf numFmtId="1" fontId="4" fillId="4" borderId="36" xfId="0" applyNumberFormat="1" applyFont="1" applyFill="1" applyBorder="1"/>
    <xf numFmtId="164" fontId="4" fillId="4" borderId="48" xfId="0" applyNumberFormat="1" applyFont="1" applyFill="1" applyBorder="1"/>
    <xf numFmtId="164" fontId="5" fillId="0" borderId="33" xfId="0" applyNumberFormat="1" applyFont="1" applyBorder="1"/>
    <xf numFmtId="0" fontId="0" fillId="0" borderId="33" xfId="0" applyFont="1" applyBorder="1" applyAlignment="1">
      <alignment horizontal="center"/>
    </xf>
    <xf numFmtId="164" fontId="4" fillId="4" borderId="36" xfId="0" applyNumberFormat="1" applyFont="1" applyFill="1" applyBorder="1" applyProtection="1"/>
    <xf numFmtId="1" fontId="4" fillId="4" borderId="36" xfId="0" applyNumberFormat="1" applyFont="1" applyFill="1" applyBorder="1" applyProtection="1"/>
    <xf numFmtId="164" fontId="4" fillId="4" borderId="48" xfId="0" applyNumberFormat="1" applyFont="1" applyFill="1" applyBorder="1" applyProtection="1"/>
    <xf numFmtId="0" fontId="8" fillId="3" borderId="53" xfId="0" applyFont="1" applyFill="1" applyBorder="1" applyAlignment="1">
      <alignment horizontal="center" vertical="center"/>
    </xf>
    <xf numFmtId="0" fontId="2" fillId="3" borderId="104" xfId="0" applyFont="1" applyFill="1" applyBorder="1" applyAlignment="1">
      <alignment horizontal="center" vertical="center"/>
    </xf>
    <xf numFmtId="0" fontId="2" fillId="3" borderId="105" xfId="0" applyFont="1" applyFill="1" applyBorder="1" applyAlignment="1">
      <alignment horizontal="center" vertical="center"/>
    </xf>
    <xf numFmtId="0" fontId="8" fillId="3" borderId="106" xfId="0" applyFont="1" applyFill="1" applyBorder="1" applyAlignment="1">
      <alignment horizontal="center" vertical="center"/>
    </xf>
    <xf numFmtId="164" fontId="7" fillId="45" borderId="31" xfId="0" applyNumberFormat="1" applyFont="1" applyFill="1" applyBorder="1" applyAlignment="1">
      <alignment vertical="center"/>
    </xf>
    <xf numFmtId="0" fontId="22" fillId="2" borderId="101" xfId="0" applyFont="1" applyFill="1" applyBorder="1" applyAlignment="1">
      <alignment horizontal="center"/>
    </xf>
    <xf numFmtId="0" fontId="22" fillId="2" borderId="102" xfId="0" applyFont="1" applyFill="1" applyBorder="1" applyAlignment="1">
      <alignment horizontal="center"/>
    </xf>
    <xf numFmtId="0" fontId="6" fillId="6" borderId="74" xfId="0" applyFont="1" applyFill="1" applyBorder="1" applyAlignment="1">
      <alignment horizontal="center"/>
    </xf>
    <xf numFmtId="0" fontId="3" fillId="0" borderId="73" xfId="0" applyFont="1" applyBorder="1"/>
    <xf numFmtId="0" fontId="3" fillId="0" borderId="95" xfId="0" applyFont="1" applyBorder="1"/>
    <xf numFmtId="0" fontId="6" fillId="6" borderId="22" xfId="0" applyFont="1" applyFill="1" applyBorder="1" applyAlignment="1" applyProtection="1">
      <alignment horizontal="center"/>
      <protection locked="0"/>
    </xf>
    <xf numFmtId="0" fontId="3" fillId="0" borderId="23" xfId="0" applyFont="1" applyBorder="1" applyProtection="1">
      <protection locked="0"/>
    </xf>
    <xf numFmtId="0" fontId="3" fillId="0" borderId="24" xfId="0" applyFont="1" applyBorder="1" applyProtection="1">
      <protection locked="0"/>
    </xf>
    <xf numFmtId="0" fontId="11" fillId="11" borderId="101" xfId="0" applyFont="1" applyFill="1" applyBorder="1" applyAlignment="1">
      <alignment horizontal="center"/>
    </xf>
    <xf numFmtId="0" fontId="11" fillId="11" borderId="102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/>
      <protection locked="0"/>
    </xf>
    <xf numFmtId="0" fontId="8" fillId="2" borderId="12" xfId="0" applyFont="1" applyFill="1" applyBorder="1" applyAlignment="1" applyProtection="1">
      <alignment horizontal="center"/>
      <protection locked="0"/>
    </xf>
    <xf numFmtId="0" fontId="8" fillId="2" borderId="74" xfId="0" applyFont="1" applyFill="1" applyBorder="1" applyAlignment="1" applyProtection="1">
      <alignment horizontal="center"/>
      <protection locked="0"/>
    </xf>
    <xf numFmtId="0" fontId="8" fillId="2" borderId="73" xfId="0" applyFont="1" applyFill="1" applyBorder="1" applyAlignment="1" applyProtection="1">
      <alignment horizontal="center"/>
      <protection locked="0"/>
    </xf>
    <xf numFmtId="0" fontId="8" fillId="2" borderId="72" xfId="0" applyFont="1" applyFill="1" applyBorder="1" applyAlignment="1" applyProtection="1">
      <alignment horizontal="center"/>
      <protection locked="0"/>
    </xf>
    <xf numFmtId="0" fontId="1" fillId="10" borderId="11" xfId="0" applyFont="1" applyFill="1" applyBorder="1" applyAlignment="1" applyProtection="1">
      <alignment horizontal="center"/>
      <protection locked="0"/>
    </xf>
    <xf numFmtId="0" fontId="1" fillId="10" borderId="12" xfId="0" applyFont="1" applyFill="1" applyBorder="1" applyAlignment="1" applyProtection="1">
      <alignment horizontal="center"/>
      <protection locked="0"/>
    </xf>
    <xf numFmtId="0" fontId="2" fillId="7" borderId="8" xfId="0" applyFont="1" applyFill="1" applyBorder="1" applyAlignment="1">
      <alignment horizontal="center"/>
    </xf>
    <xf numFmtId="0" fontId="3" fillId="0" borderId="9" xfId="0" applyFont="1" applyBorder="1"/>
    <xf numFmtId="0" fontId="3" fillId="0" borderId="33" xfId="0" applyFont="1" applyBorder="1"/>
    <xf numFmtId="0" fontId="3" fillId="0" borderId="34" xfId="0" applyFont="1" applyBorder="1"/>
    <xf numFmtId="0" fontId="6" fillId="6" borderId="8" xfId="0" applyFont="1" applyFill="1" applyBorder="1" applyAlignment="1">
      <alignment horizontal="center"/>
    </xf>
    <xf numFmtId="0" fontId="3" fillId="0" borderId="21" xfId="0" applyFont="1" applyBorder="1"/>
    <xf numFmtId="0" fontId="11" fillId="6" borderId="101" xfId="0" applyFont="1" applyFill="1" applyBorder="1" applyAlignment="1">
      <alignment horizontal="center"/>
    </xf>
    <xf numFmtId="0" fontId="11" fillId="6" borderId="102" xfId="0" applyFont="1" applyFill="1" applyBorder="1" applyAlignment="1">
      <alignment horizontal="center"/>
    </xf>
    <xf numFmtId="0" fontId="1" fillId="6" borderId="11" xfId="0" applyFont="1" applyFill="1" applyBorder="1" applyAlignment="1" applyProtection="1">
      <alignment horizontal="center"/>
      <protection locked="0"/>
    </xf>
    <xf numFmtId="0" fontId="1" fillId="6" borderId="12" xfId="0" applyFont="1" applyFill="1" applyBorder="1" applyAlignment="1" applyProtection="1">
      <alignment horizontal="center"/>
      <protection locked="0"/>
    </xf>
    <xf numFmtId="0" fontId="1" fillId="6" borderId="74" xfId="0" applyFont="1" applyFill="1" applyBorder="1" applyAlignment="1" applyProtection="1">
      <alignment horizontal="center"/>
      <protection locked="0"/>
    </xf>
    <xf numFmtId="0" fontId="1" fillId="6" borderId="73" xfId="0" applyFont="1" applyFill="1" applyBorder="1" applyAlignment="1" applyProtection="1">
      <alignment horizontal="center"/>
      <protection locked="0"/>
    </xf>
    <xf numFmtId="0" fontId="1" fillId="6" borderId="72" xfId="0" applyFont="1" applyFill="1" applyBorder="1" applyAlignment="1" applyProtection="1">
      <alignment horizontal="center"/>
      <protection locked="0"/>
    </xf>
    <xf numFmtId="0" fontId="11" fillId="13" borderId="93" xfId="0" applyFont="1" applyFill="1" applyBorder="1" applyAlignment="1">
      <alignment horizontal="center"/>
    </xf>
    <xf numFmtId="0" fontId="11" fillId="13" borderId="100" xfId="0" applyFont="1" applyFill="1" applyBorder="1" applyAlignment="1">
      <alignment horizontal="center"/>
    </xf>
    <xf numFmtId="0" fontId="2" fillId="14" borderId="8" xfId="0" applyFont="1" applyFill="1" applyBorder="1" applyAlignment="1">
      <alignment horizontal="center" vertical="center"/>
    </xf>
    <xf numFmtId="0" fontId="2" fillId="14" borderId="74" xfId="0" applyFont="1" applyFill="1" applyBorder="1" applyAlignment="1">
      <alignment horizontal="center" vertical="center"/>
    </xf>
    <xf numFmtId="0" fontId="3" fillId="0" borderId="72" xfId="0" applyFont="1" applyBorder="1"/>
    <xf numFmtId="0" fontId="9" fillId="6" borderId="19" xfId="0" applyFont="1" applyFill="1" applyBorder="1" applyAlignment="1">
      <alignment horizontal="center" vertical="center"/>
    </xf>
    <xf numFmtId="0" fontId="9" fillId="6" borderId="52" xfId="0" applyFont="1" applyFill="1" applyBorder="1" applyAlignment="1">
      <alignment horizontal="center" vertical="center"/>
    </xf>
    <xf numFmtId="0" fontId="9" fillId="6" borderId="20" xfId="0" applyFont="1" applyFill="1" applyBorder="1" applyAlignment="1">
      <alignment horizontal="center" vertical="center"/>
    </xf>
    <xf numFmtId="0" fontId="9" fillId="6" borderId="28" xfId="0" applyFont="1" applyFill="1" applyBorder="1" applyAlignment="1">
      <alignment horizontal="center" vertical="center"/>
    </xf>
    <xf numFmtId="0" fontId="9" fillId="6" borderId="60" xfId="0" applyFont="1" applyFill="1" applyBorder="1" applyAlignment="1">
      <alignment horizontal="center" vertical="center"/>
    </xf>
    <xf numFmtId="0" fontId="9" fillId="6" borderId="61" xfId="0" applyFont="1" applyFill="1" applyBorder="1" applyAlignment="1">
      <alignment horizontal="center" vertical="center"/>
    </xf>
    <xf numFmtId="0" fontId="10" fillId="6" borderId="52" xfId="0" applyFont="1" applyFill="1" applyBorder="1" applyAlignment="1">
      <alignment horizontal="center" vertical="center"/>
    </xf>
    <xf numFmtId="0" fontId="10" fillId="6" borderId="20" xfId="0" applyFont="1" applyFill="1" applyBorder="1" applyAlignment="1">
      <alignment horizontal="center" vertical="center"/>
    </xf>
    <xf numFmtId="0" fontId="11" fillId="14" borderId="12" xfId="0" applyFont="1" applyFill="1" applyBorder="1" applyAlignment="1">
      <alignment horizontal="center"/>
    </xf>
    <xf numFmtId="0" fontId="11" fillId="0" borderId="9" xfId="0" applyFont="1" applyBorder="1"/>
    <xf numFmtId="0" fontId="11" fillId="0" borderId="10" xfId="0" applyFont="1" applyBorder="1"/>
    <xf numFmtId="0" fontId="6" fillId="6" borderId="74" xfId="0" applyFont="1" applyFill="1" applyBorder="1" applyAlignment="1">
      <alignment horizontal="right"/>
    </xf>
    <xf numFmtId="0" fontId="6" fillId="6" borderId="73" xfId="0" applyFont="1" applyFill="1" applyBorder="1" applyAlignment="1">
      <alignment horizontal="right"/>
    </xf>
    <xf numFmtId="0" fontId="6" fillId="6" borderId="72" xfId="0" applyFont="1" applyFill="1" applyBorder="1" applyAlignment="1">
      <alignment horizontal="right"/>
    </xf>
    <xf numFmtId="0" fontId="11" fillId="31" borderId="101" xfId="0" applyFont="1" applyFill="1" applyBorder="1" applyAlignment="1">
      <alignment horizontal="center"/>
    </xf>
    <xf numFmtId="0" fontId="11" fillId="31" borderId="102" xfId="0" applyFont="1" applyFill="1" applyBorder="1" applyAlignment="1">
      <alignment horizontal="center"/>
    </xf>
    <xf numFmtId="0" fontId="1" fillId="32" borderId="11" xfId="0" applyFont="1" applyFill="1" applyBorder="1" applyAlignment="1" applyProtection="1">
      <alignment horizontal="center"/>
      <protection locked="0"/>
    </xf>
    <xf numFmtId="0" fontId="1" fillId="32" borderId="12" xfId="0" applyFont="1" applyFill="1" applyBorder="1" applyAlignment="1" applyProtection="1">
      <alignment horizontal="center"/>
      <protection locked="0"/>
    </xf>
    <xf numFmtId="0" fontId="3" fillId="33" borderId="74" xfId="0" applyFont="1" applyFill="1" applyBorder="1" applyAlignment="1" applyProtection="1">
      <alignment horizontal="center"/>
      <protection locked="0"/>
    </xf>
    <xf numFmtId="0" fontId="3" fillId="33" borderId="73" xfId="0" applyFont="1" applyFill="1" applyBorder="1" applyAlignment="1" applyProtection="1">
      <alignment horizontal="center"/>
      <protection locked="0"/>
    </xf>
    <xf numFmtId="0" fontId="3" fillId="33" borderId="72" xfId="0" applyFont="1" applyFill="1" applyBorder="1" applyAlignment="1" applyProtection="1">
      <alignment horizontal="center"/>
      <protection locked="0"/>
    </xf>
    <xf numFmtId="0" fontId="1" fillId="9" borderId="11" xfId="0" applyFont="1" applyFill="1" applyBorder="1" applyAlignment="1" applyProtection="1">
      <alignment horizontal="center"/>
      <protection locked="0"/>
    </xf>
    <xf numFmtId="0" fontId="1" fillId="9" borderId="12" xfId="0" applyFont="1" applyFill="1" applyBorder="1" applyAlignment="1" applyProtection="1">
      <alignment horizontal="center"/>
      <protection locked="0"/>
    </xf>
    <xf numFmtId="0" fontId="1" fillId="9" borderId="74" xfId="0" applyFont="1" applyFill="1" applyBorder="1" applyAlignment="1" applyProtection="1">
      <alignment horizontal="center"/>
      <protection locked="0"/>
    </xf>
    <xf numFmtId="0" fontId="1" fillId="9" borderId="73" xfId="0" applyFont="1" applyFill="1" applyBorder="1" applyAlignment="1" applyProtection="1">
      <alignment horizontal="center"/>
      <protection locked="0"/>
    </xf>
    <xf numFmtId="0" fontId="1" fillId="9" borderId="72" xfId="0" applyFont="1" applyFill="1" applyBorder="1" applyAlignment="1" applyProtection="1">
      <alignment horizontal="center"/>
      <protection locked="0"/>
    </xf>
    <xf numFmtId="0" fontId="11" fillId="9" borderId="101" xfId="0" applyFont="1" applyFill="1" applyBorder="1" applyAlignment="1">
      <alignment horizontal="center"/>
    </xf>
    <xf numFmtId="0" fontId="11" fillId="9" borderId="102" xfId="0" applyFont="1" applyFill="1" applyBorder="1" applyAlignment="1">
      <alignment horizontal="center"/>
    </xf>
    <xf numFmtId="0" fontId="1" fillId="15" borderId="74" xfId="0" applyFont="1" applyFill="1" applyBorder="1" applyAlignment="1">
      <alignment horizontal="center"/>
    </xf>
    <xf numFmtId="0" fontId="1" fillId="15" borderId="73" xfId="0" applyFont="1" applyFill="1" applyBorder="1" applyAlignment="1">
      <alignment horizontal="center"/>
    </xf>
    <xf numFmtId="0" fontId="1" fillId="15" borderId="107" xfId="0" applyFont="1" applyFill="1" applyBorder="1" applyAlignment="1">
      <alignment horizontal="center"/>
    </xf>
    <xf numFmtId="0" fontId="1" fillId="15" borderId="108" xfId="0" applyFont="1" applyFill="1" applyBorder="1" applyAlignment="1">
      <alignment horizontal="center"/>
    </xf>
    <xf numFmtId="0" fontId="1" fillId="15" borderId="72" xfId="0" applyFont="1" applyFill="1" applyBorder="1" applyAlignment="1">
      <alignment horizontal="center"/>
    </xf>
    <xf numFmtId="0" fontId="1" fillId="10" borderId="74" xfId="0" applyFont="1" applyFill="1" applyBorder="1" applyAlignment="1" applyProtection="1">
      <alignment horizontal="center"/>
      <protection locked="0"/>
    </xf>
    <xf numFmtId="0" fontId="1" fillId="10" borderId="73" xfId="0" applyFont="1" applyFill="1" applyBorder="1" applyAlignment="1" applyProtection="1">
      <alignment horizontal="center"/>
      <protection locked="0"/>
    </xf>
    <xf numFmtId="0" fontId="1" fillId="10" borderId="72" xfId="0" applyFont="1" applyFill="1" applyBorder="1" applyAlignment="1" applyProtection="1">
      <alignment horizontal="center"/>
      <protection locked="0"/>
    </xf>
    <xf numFmtId="0" fontId="1" fillId="12" borderId="11" xfId="0" applyFont="1" applyFill="1" applyBorder="1" applyAlignment="1" applyProtection="1">
      <alignment horizontal="center"/>
      <protection locked="0"/>
    </xf>
    <xf numFmtId="0" fontId="1" fillId="12" borderId="12" xfId="0" applyFont="1" applyFill="1" applyBorder="1" applyAlignment="1" applyProtection="1">
      <alignment horizontal="center"/>
      <protection locked="0"/>
    </xf>
    <xf numFmtId="0" fontId="1" fillId="12" borderId="74" xfId="0" applyFont="1" applyFill="1" applyBorder="1" applyAlignment="1" applyProtection="1">
      <alignment horizontal="center"/>
      <protection locked="0"/>
    </xf>
    <xf numFmtId="0" fontId="1" fillId="12" borderId="73" xfId="0" applyFont="1" applyFill="1" applyBorder="1" applyAlignment="1" applyProtection="1">
      <alignment horizontal="center"/>
      <protection locked="0"/>
    </xf>
    <xf numFmtId="0" fontId="1" fillId="12" borderId="72" xfId="0" applyFont="1" applyFill="1" applyBorder="1" applyAlignment="1" applyProtection="1">
      <alignment horizontal="center"/>
      <protection locked="0"/>
    </xf>
    <xf numFmtId="0" fontId="1" fillId="14" borderId="11" xfId="0" applyFont="1" applyFill="1" applyBorder="1" applyAlignment="1" applyProtection="1">
      <alignment horizontal="center"/>
      <protection locked="0"/>
    </xf>
    <xf numFmtId="0" fontId="1" fillId="14" borderId="12" xfId="0" applyFont="1" applyFill="1" applyBorder="1" applyAlignment="1" applyProtection="1">
      <alignment horizontal="center"/>
      <protection locked="0"/>
    </xf>
    <xf numFmtId="0" fontId="1" fillId="14" borderId="74" xfId="0" applyFont="1" applyFill="1" applyBorder="1" applyAlignment="1" applyProtection="1">
      <alignment horizontal="center"/>
      <protection locked="0"/>
    </xf>
    <xf numFmtId="0" fontId="1" fillId="14" borderId="73" xfId="0" applyFont="1" applyFill="1" applyBorder="1" applyAlignment="1" applyProtection="1">
      <alignment horizontal="center"/>
      <protection locked="0"/>
    </xf>
    <xf numFmtId="0" fontId="1" fillId="14" borderId="72" xfId="0" applyFont="1" applyFill="1" applyBorder="1" applyAlignment="1" applyProtection="1">
      <alignment horizontal="center"/>
      <protection locked="0"/>
    </xf>
    <xf numFmtId="0" fontId="1" fillId="6" borderId="50" xfId="0" applyFont="1" applyFill="1" applyBorder="1" applyAlignment="1">
      <alignment horizontal="center" vertical="center"/>
    </xf>
    <xf numFmtId="0" fontId="3" fillId="0" borderId="51" xfId="0" applyFont="1" applyBorder="1"/>
    <xf numFmtId="0" fontId="3" fillId="0" borderId="52" xfId="0" applyFont="1" applyBorder="1"/>
    <xf numFmtId="0" fontId="7" fillId="23" borderId="8" xfId="0" applyFont="1" applyFill="1" applyBorder="1" applyAlignment="1">
      <alignment horizontal="right"/>
    </xf>
    <xf numFmtId="0" fontId="32" fillId="20" borderId="21" xfId="0" applyFont="1" applyFill="1" applyBorder="1"/>
    <xf numFmtId="0" fontId="24" fillId="29" borderId="53" xfId="0" applyFont="1" applyFill="1" applyBorder="1" applyAlignment="1">
      <alignment horizontal="center" vertical="center" wrapText="1"/>
    </xf>
    <xf numFmtId="0" fontId="25" fillId="20" borderId="54" xfId="0" applyFont="1" applyFill="1" applyBorder="1" applyAlignment="1">
      <alignment wrapText="1"/>
    </xf>
    <xf numFmtId="164" fontId="6" fillId="20" borderId="0" xfId="0" applyNumberFormat="1" applyFont="1" applyFill="1" applyAlignment="1">
      <alignment horizontal="center" vertical="center"/>
    </xf>
    <xf numFmtId="164" fontId="6" fillId="20" borderId="0" xfId="0" applyNumberFormat="1" applyFont="1" applyFill="1" applyAlignment="1">
      <alignment horizontal="center" wrapText="1"/>
    </xf>
    <xf numFmtId="0" fontId="21" fillId="0" borderId="76" xfId="0" applyFont="1" applyBorder="1" applyAlignment="1">
      <alignment horizontal="center" vertical="center" wrapText="1"/>
    </xf>
    <xf numFmtId="0" fontId="21" fillId="0" borderId="75" xfId="0" applyFont="1" applyBorder="1" applyAlignment="1">
      <alignment horizontal="center" vertical="center" wrapText="1"/>
    </xf>
    <xf numFmtId="0" fontId="21" fillId="0" borderId="81" xfId="0" applyFont="1" applyBorder="1" applyAlignment="1">
      <alignment horizontal="center" vertical="center" wrapText="1"/>
    </xf>
    <xf numFmtId="0" fontId="21" fillId="0" borderId="82" xfId="0" applyFont="1" applyBorder="1" applyAlignment="1">
      <alignment horizontal="center" vertical="center" wrapText="1"/>
    </xf>
    <xf numFmtId="0" fontId="21" fillId="0" borderId="83" xfId="0" applyFont="1" applyBorder="1" applyAlignment="1">
      <alignment horizontal="center" vertical="center" wrapText="1"/>
    </xf>
    <xf numFmtId="0" fontId="21" fillId="0" borderId="84" xfId="0" applyFont="1" applyBorder="1" applyAlignment="1">
      <alignment horizontal="center" vertical="center" wrapText="1"/>
    </xf>
    <xf numFmtId="0" fontId="2" fillId="21" borderId="74" xfId="0" applyFont="1" applyFill="1" applyBorder="1" applyAlignment="1">
      <alignment horizontal="center"/>
    </xf>
    <xf numFmtId="0" fontId="2" fillId="21" borderId="72" xfId="0" applyFont="1" applyFill="1" applyBorder="1" applyAlignment="1">
      <alignment horizontal="center"/>
    </xf>
    <xf numFmtId="0" fontId="1" fillId="6" borderId="64" xfId="0" applyFont="1" applyFill="1" applyBorder="1" applyAlignment="1">
      <alignment horizontal="center" vertical="center"/>
    </xf>
    <xf numFmtId="0" fontId="3" fillId="0" borderId="65" xfId="0" applyFont="1" applyBorder="1"/>
    <xf numFmtId="0" fontId="31" fillId="24" borderId="78" xfId="0" applyFont="1" applyFill="1" applyBorder="1" applyAlignment="1">
      <alignment horizontal="center" vertical="center" textRotation="90"/>
    </xf>
    <xf numFmtId="0" fontId="31" fillId="24" borderId="81" xfId="0" applyFont="1" applyFill="1" applyBorder="1" applyAlignment="1">
      <alignment horizontal="center" vertical="center" textRotation="90"/>
    </xf>
    <xf numFmtId="0" fontId="31" fillId="24" borderId="79" xfId="0" applyFont="1" applyFill="1" applyBorder="1" applyAlignment="1">
      <alignment horizontal="center" vertical="center" textRotation="90"/>
    </xf>
    <xf numFmtId="0" fontId="31" fillId="24" borderId="80" xfId="0" applyFont="1" applyFill="1" applyBorder="1" applyAlignment="1">
      <alignment horizontal="center" vertical="center" textRotation="90"/>
    </xf>
    <xf numFmtId="0" fontId="6" fillId="20" borderId="81" xfId="0" applyFont="1" applyFill="1" applyBorder="1" applyAlignment="1">
      <alignment horizontal="center" vertical="center"/>
    </xf>
    <xf numFmtId="0" fontId="6" fillId="20" borderId="52" xfId="0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0" fontId="17" fillId="4" borderId="12" xfId="0" applyFont="1" applyFill="1" applyBorder="1" applyAlignment="1">
      <alignment horizontal="center" vertical="center"/>
    </xf>
    <xf numFmtId="0" fontId="29" fillId="4" borderId="11" xfId="0" applyFont="1" applyFill="1" applyBorder="1" applyAlignment="1">
      <alignment horizontal="center" vertical="center" wrapText="1"/>
    </xf>
    <xf numFmtId="0" fontId="29" fillId="4" borderId="12" xfId="0" applyFont="1" applyFill="1" applyBorder="1" applyAlignment="1">
      <alignment horizontal="center" vertical="center" wrapText="1"/>
    </xf>
    <xf numFmtId="0" fontId="0" fillId="0" borderId="93" xfId="0" applyFont="1" applyBorder="1"/>
    <xf numFmtId="164" fontId="6" fillId="6" borderId="109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164" fontId="7" fillId="20" borderId="77" xfId="0" applyNumberFormat="1" applyFont="1" applyFill="1" applyBorder="1" applyAlignment="1">
      <alignment horizontal="center" vertical="center"/>
    </xf>
    <xf numFmtId="164" fontId="34" fillId="0" borderId="59" xfId="0" applyNumberFormat="1" applyFont="1" applyFill="1" applyBorder="1" applyAlignment="1" applyProtection="1">
      <alignment horizontal="center" vertical="center"/>
      <protection locked="0"/>
    </xf>
    <xf numFmtId="164" fontId="34" fillId="0" borderId="16" xfId="0" applyNumberFormat="1" applyFont="1" applyFill="1" applyBorder="1" applyAlignment="1" applyProtection="1">
      <alignment horizontal="center" vertical="center"/>
      <protection locked="0"/>
    </xf>
    <xf numFmtId="164" fontId="13" fillId="19" borderId="18" xfId="0" applyNumberFormat="1" applyFont="1" applyFill="1" applyBorder="1" applyAlignment="1" applyProtection="1">
      <alignment horizontal="center" vertical="center"/>
      <protection locked="0"/>
    </xf>
    <xf numFmtId="164" fontId="13" fillId="19" borderId="44" xfId="0" applyNumberFormat="1" applyFont="1" applyFill="1" applyBorder="1" applyAlignment="1" applyProtection="1">
      <alignment horizontal="center" vertical="center"/>
      <protection locked="0"/>
    </xf>
    <xf numFmtId="164" fontId="13" fillId="19" borderId="46" xfId="0" applyNumberFormat="1" applyFont="1" applyFill="1" applyBorder="1" applyAlignment="1" applyProtection="1">
      <alignment horizontal="center" vertical="center"/>
      <protection locked="0"/>
    </xf>
    <xf numFmtId="0" fontId="28" fillId="46" borderId="35" xfId="0" applyFont="1" applyFill="1" applyBorder="1" applyAlignment="1">
      <alignment horizontal="left" vertical="center"/>
    </xf>
    <xf numFmtId="0" fontId="28" fillId="46" borderId="14" xfId="0" applyFont="1" applyFill="1" applyBorder="1" applyAlignment="1">
      <alignment horizontal="left" vertical="center"/>
    </xf>
    <xf numFmtId="0" fontId="28" fillId="46" borderId="45" xfId="0" applyFont="1" applyFill="1" applyBorder="1" applyAlignment="1">
      <alignment horizontal="left" vertical="center"/>
    </xf>
    <xf numFmtId="0" fontId="11" fillId="24" borderId="67" xfId="0" applyFont="1" applyFill="1" applyBorder="1"/>
    <xf numFmtId="164" fontId="11" fillId="24" borderId="63" xfId="0" applyNumberFormat="1" applyFont="1" applyFill="1" applyBorder="1"/>
    <xf numFmtId="0" fontId="21" fillId="0" borderId="67" xfId="0" applyFont="1" applyBorder="1" applyProtection="1">
      <protection locked="0"/>
    </xf>
    <xf numFmtId="164" fontId="0" fillId="0" borderId="63" xfId="0" applyNumberFormat="1" applyFont="1" applyBorder="1" applyProtection="1">
      <protection locked="0"/>
    </xf>
    <xf numFmtId="0" fontId="21" fillId="0" borderId="64" xfId="0" applyFont="1" applyBorder="1" applyProtection="1">
      <protection locked="0"/>
    </xf>
    <xf numFmtId="164" fontId="0" fillId="0" borderId="65" xfId="0" applyNumberFormat="1" applyFont="1" applyBorder="1" applyProtection="1">
      <protection locked="0"/>
    </xf>
    <xf numFmtId="164" fontId="21" fillId="0" borderId="63" xfId="0" applyNumberFormat="1" applyFont="1" applyBorder="1" applyProtection="1">
      <protection locked="0"/>
    </xf>
    <xf numFmtId="0" fontId="0" fillId="0" borderId="67" xfId="0" applyFont="1" applyBorder="1" applyProtection="1">
      <protection locked="0"/>
    </xf>
    <xf numFmtId="164" fontId="0" fillId="0" borderId="87" xfId="0" applyNumberFormat="1" applyFont="1" applyBorder="1" applyAlignment="1" applyProtection="1">
      <protection locked="0"/>
    </xf>
    <xf numFmtId="164" fontId="21" fillId="0" borderId="87" xfId="0" applyNumberFormat="1" applyFont="1" applyBorder="1" applyAlignment="1" applyProtection="1">
      <protection locked="0"/>
    </xf>
    <xf numFmtId="164" fontId="0" fillId="0" borderId="63" xfId="0" applyNumberFormat="1" applyFont="1" applyBorder="1" applyAlignment="1" applyProtection="1">
      <protection locked="0"/>
    </xf>
    <xf numFmtId="0" fontId="21" fillId="0" borderId="63" xfId="0" applyFont="1" applyBorder="1" applyAlignment="1" applyProtection="1">
      <protection locked="0"/>
    </xf>
    <xf numFmtId="164" fontId="21" fillId="0" borderId="63" xfId="0" quotePrefix="1" applyNumberFormat="1" applyFont="1" applyBorder="1" applyAlignment="1" applyProtection="1">
      <protection locked="0"/>
    </xf>
    <xf numFmtId="9" fontId="0" fillId="0" borderId="63" xfId="2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1" xr:uid="{15D151AE-4E07-4BE9-825A-E552EA860E42}"/>
    <cellStyle name="Porcentagem" xfId="2" builtinId="5"/>
  </cellStyles>
  <dxfs count="274">
    <dxf>
      <font>
        <b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00FF00"/>
          <bgColor rgb="FF00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theme="1"/>
          <bgColor theme="1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solid">
          <fgColor rgb="FF00FF00"/>
          <bgColor rgb="FF00FF00"/>
        </patternFill>
      </fill>
    </dxf>
    <dxf>
      <font>
        <b/>
        <color rgb="FF00000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FFFFFF"/>
      </font>
      <fill>
        <patternFill patternType="solid">
          <fgColor rgb="FF7030A0"/>
          <bgColor rgb="FF7030A0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</font>
      <fill>
        <patternFill patternType="solid">
          <fgColor rgb="FF00FF00"/>
          <bgColor rgb="FF00FF00"/>
        </patternFill>
      </fill>
    </dxf>
  </dxfs>
  <tableStyles count="0" defaultTableStyle="TableStyleMedium2" defaultPivotStyle="PivotStyleLight16"/>
  <colors>
    <mruColors>
      <color rgb="FFCC66FF"/>
      <color rgb="FF0000FF"/>
      <color rgb="FF00FF00"/>
      <color rgb="FFFF00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2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468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RESUMÃO!$B$19:$B$30</c:f>
              <c:strCache>
                <c:ptCount val="12"/>
                <c:pt idx="0">
                  <c:v>ABRIL</c:v>
                </c:pt>
                <c:pt idx="1">
                  <c:v>MAIO</c:v>
                </c:pt>
                <c:pt idx="2">
                  <c:v>JUNHO</c:v>
                </c:pt>
                <c:pt idx="3">
                  <c:v>JULHO</c:v>
                </c:pt>
                <c:pt idx="4">
                  <c:v>AGOSTO</c:v>
                </c:pt>
                <c:pt idx="5">
                  <c:v>SETEMBRO</c:v>
                </c:pt>
                <c:pt idx="6">
                  <c:v>OUTUBRO</c:v>
                </c:pt>
                <c:pt idx="7">
                  <c:v>NOVEMBRO</c:v>
                </c:pt>
                <c:pt idx="8">
                  <c:v>DEZEMBRO</c:v>
                </c:pt>
                <c:pt idx="9">
                  <c:v>JANEIRO</c:v>
                </c:pt>
                <c:pt idx="10">
                  <c:v>FEVEREIRO</c:v>
                </c:pt>
                <c:pt idx="11">
                  <c:v>MARÇO</c:v>
                </c:pt>
              </c:strCache>
            </c:strRef>
          </c:cat>
          <c:val>
            <c:numRef>
              <c:f>RESUMÃO!$K$19:$K$30</c:f>
              <c:numCache>
                <c:formatCode>"R$"\ #,##0.00</c:formatCode>
                <c:ptCount val="12"/>
                <c:pt idx="0">
                  <c:v>1300</c:v>
                </c:pt>
                <c:pt idx="1">
                  <c:v>1300</c:v>
                </c:pt>
                <c:pt idx="2">
                  <c:v>1300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489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D-43E0-A582-94C7B6497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0140335"/>
        <c:axId val="2038319645"/>
      </c:lineChart>
      <c:catAx>
        <c:axId val="13201403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8319645"/>
        <c:crosses val="autoZero"/>
        <c:auto val="1"/>
        <c:lblAlgn val="ctr"/>
        <c:lblOffset val="100"/>
        <c:noMultiLvlLbl val="1"/>
      </c:catAx>
      <c:valAx>
        <c:axId val="203831964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0140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123825</xdr:rowOff>
        </xdr:from>
        <xdr:to>
          <xdr:col>0</xdr:col>
          <xdr:colOff>981075</xdr:colOff>
          <xdr:row>7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38</xdr:row>
          <xdr:rowOff>152400</xdr:rowOff>
        </xdr:from>
        <xdr:to>
          <xdr:col>0</xdr:col>
          <xdr:colOff>981075</xdr:colOff>
          <xdr:row>43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152</xdr:row>
          <xdr:rowOff>152400</xdr:rowOff>
        </xdr:from>
        <xdr:to>
          <xdr:col>0</xdr:col>
          <xdr:colOff>981075</xdr:colOff>
          <xdr:row>157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122464</xdr:colOff>
          <xdr:row>283</xdr:row>
          <xdr:rowOff>81644</xdr:rowOff>
        </xdr:from>
        <xdr:to>
          <xdr:col>8</xdr:col>
          <xdr:colOff>1714499</xdr:colOff>
          <xdr:row>288</xdr:row>
          <xdr:rowOff>85726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 COLUNA VALOR DO MÊS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77</xdr:row>
          <xdr:rowOff>152400</xdr:rowOff>
        </xdr:from>
        <xdr:to>
          <xdr:col>0</xdr:col>
          <xdr:colOff>981075</xdr:colOff>
          <xdr:row>82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201</xdr:row>
          <xdr:rowOff>152400</xdr:rowOff>
        </xdr:from>
        <xdr:to>
          <xdr:col>0</xdr:col>
          <xdr:colOff>981075</xdr:colOff>
          <xdr:row>206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227</xdr:row>
          <xdr:rowOff>152400</xdr:rowOff>
        </xdr:from>
        <xdr:to>
          <xdr:col>0</xdr:col>
          <xdr:colOff>981075</xdr:colOff>
          <xdr:row>232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76200</xdr:colOff>
      <xdr:row>0</xdr:row>
      <xdr:rowOff>123825</xdr:rowOff>
    </xdr:from>
    <xdr:ext cx="4953000" cy="2752725"/>
    <xdr:graphicFrame macro="">
      <xdr:nvGraphicFramePr>
        <xdr:cNvPr id="1473973912" name="Chart 1">
          <a:extLst>
            <a:ext uri="{FF2B5EF4-FFF2-40B4-BE49-F238E27FC236}">
              <a16:creationId xmlns:a16="http://schemas.microsoft.com/office/drawing/2014/main" id="{00000000-0008-0000-0100-0000980EDB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866779</xdr:colOff>
      <xdr:row>2</xdr:row>
      <xdr:rowOff>57151</xdr:rowOff>
    </xdr:from>
    <xdr:to>
      <xdr:col>10</xdr:col>
      <xdr:colOff>47633</xdr:colOff>
      <xdr:row>7</xdr:row>
      <xdr:rowOff>38101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2153904" y="419101"/>
          <a:ext cx="1314454" cy="885825"/>
          <a:chOff x="10418404" y="159903"/>
          <a:chExt cx="1309678" cy="967273"/>
        </a:xfrm>
      </xdr:grpSpPr>
      <xdr:pic macro="[0]!HISTORICO_SALARIOS"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44200" y="159903"/>
            <a:ext cx="625056" cy="663286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152400" dist="12000" dir="900000" sy="98000" kx="110000" ky="200000" algn="tl" rotWithShape="0">
              <a:srgbClr val="000000">
                <a:alpha val="30000"/>
              </a:srgbClr>
            </a:outerShdw>
          </a:effectLst>
          <a:scene3d>
            <a:camera prst="perspectiveRelaxed">
              <a:rot lat="19800000" lon="1200000" rev="20820000"/>
            </a:camera>
            <a:lightRig rig="threePt" dir="t"/>
          </a:scene3d>
          <a:sp3d contourW="6350" prstMaterial="matte">
            <a:bevelT w="101600" h="101600"/>
            <a:contourClr>
              <a:srgbClr val="969696"/>
            </a:contourClr>
          </a:sp3d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18404" y="835954"/>
            <a:ext cx="1309678" cy="291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/>
              <a:t>Salvar</a:t>
            </a:r>
            <a:r>
              <a:rPr lang="pt-BR" sz="1100" b="1" baseline="0"/>
              <a:t> no Histórico</a:t>
            </a:r>
            <a:endParaRPr lang="pt-BR" sz="11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00FF00"/>
  </sheetPr>
  <dimension ref="A1:Z1004"/>
  <sheetViews>
    <sheetView tabSelected="1" zoomScale="70" zoomScaleNormal="70" workbookViewId="0">
      <pane ySplit="1" topLeftCell="A2" activePane="bottomLeft" state="frozen"/>
      <selection pane="bottomLeft" activeCell="B47" sqref="B47:H47"/>
    </sheetView>
  </sheetViews>
  <sheetFormatPr defaultColWidth="14.42578125" defaultRowHeight="15" customHeight="1" x14ac:dyDescent="0.25"/>
  <cols>
    <col min="1" max="1" width="15.5703125" customWidth="1"/>
    <col min="2" max="2" width="23.5703125" customWidth="1"/>
    <col min="3" max="3" width="12" customWidth="1"/>
    <col min="4" max="4" width="40" customWidth="1"/>
    <col min="5" max="5" width="86.7109375" bestFit="1" customWidth="1"/>
    <col min="6" max="6" width="25" customWidth="1"/>
    <col min="7" max="7" width="39" customWidth="1"/>
    <col min="8" max="8" width="23.85546875" bestFit="1" customWidth="1"/>
    <col min="9" max="9" width="27.140625" customWidth="1"/>
    <col min="10" max="10" width="50.140625" bestFit="1" customWidth="1"/>
    <col min="11" max="11" width="34.5703125" customWidth="1"/>
    <col min="12" max="12" width="34.42578125" bestFit="1" customWidth="1"/>
    <col min="13" max="13" width="21.140625" bestFit="1" customWidth="1"/>
    <col min="14" max="14" width="17" customWidth="1"/>
    <col min="15" max="15" width="19.5703125" customWidth="1"/>
    <col min="16" max="16" width="26.42578125" customWidth="1"/>
    <col min="17" max="17" width="21" customWidth="1"/>
    <col min="18" max="18" width="23.42578125" customWidth="1"/>
    <col min="19" max="19" width="22.5703125" customWidth="1"/>
    <col min="20" max="20" width="19.5703125" customWidth="1"/>
    <col min="21" max="21" width="23.42578125" customWidth="1"/>
    <col min="22" max="22" width="17.5703125" customWidth="1"/>
    <col min="23" max="23" width="16.42578125" customWidth="1"/>
    <col min="24" max="24" width="19.42578125" customWidth="1"/>
  </cols>
  <sheetData>
    <row r="1" spans="1:24" ht="14.25" customHeight="1" thickBot="1" x14ac:dyDescent="0.3">
      <c r="A1" s="1">
        <f ca="1">TODAY()</f>
        <v>44644</v>
      </c>
      <c r="B1" s="302" t="s">
        <v>0</v>
      </c>
      <c r="C1" s="303" t="s">
        <v>1</v>
      </c>
      <c r="D1" s="304" t="s">
        <v>2</v>
      </c>
      <c r="E1" s="305" t="s">
        <v>3</v>
      </c>
      <c r="F1" s="304" t="s">
        <v>4</v>
      </c>
      <c r="G1" s="304" t="s">
        <v>5</v>
      </c>
      <c r="H1" s="306" t="s">
        <v>78</v>
      </c>
      <c r="I1" s="307" t="s">
        <v>7</v>
      </c>
      <c r="J1" s="308" t="s">
        <v>8</v>
      </c>
      <c r="K1" s="307" t="s">
        <v>9</v>
      </c>
      <c r="L1" s="307" t="s">
        <v>10</v>
      </c>
      <c r="M1" s="2" t="str">
        <f ca="1">IF(B3="DEZEMBRO",UPPER(TEXT(DATE(YEAR(TODAY()),1,1),"MMMM")),UPPER(TEXT(DATE(YEAR(TODAY()),D2+1,1),"MMMM")))</f>
        <v>MAIO</v>
      </c>
      <c r="N1" s="2" t="str">
        <f ca="1">IF(M4="DEZEMBRO",UPPER(TEXT(DATE(YEAR(TODAY()),1,1),"MMMM")),UPPER(TEXT(DATE(YEAR(TODAY()),M3+1,1),"MMMM")))</f>
        <v>JUNHO</v>
      </c>
      <c r="O1" s="2" t="str">
        <f ca="1">IF(N4="DEZEMBRO",UPPER(TEXT(DATE(YEAR(TODAY()),1,1),"MMMM")),UPPER(TEXT(DATE(YEAR(TODAY()),N3+1,1),"MMMM")))</f>
        <v>JULHO</v>
      </c>
      <c r="P1" s="2" t="str">
        <f t="shared" ref="P1:W1" ca="1" si="0">IF(O4="DEZEMBRO",UPPER(TEXT(DATE(YEAR(TODAY()),1,1),"MMMM")),UPPER(TEXT(DATE(YEAR(TODAY()),O3+1,1),"MMMM")))</f>
        <v>AGOSTO</v>
      </c>
      <c r="Q1" s="2" t="str">
        <f t="shared" ca="1" si="0"/>
        <v>SETEMBRO</v>
      </c>
      <c r="R1" s="2" t="str">
        <f t="shared" ca="1" si="0"/>
        <v>OUTUBRO</v>
      </c>
      <c r="S1" s="2" t="str">
        <f t="shared" ca="1" si="0"/>
        <v>NOVEMBRO</v>
      </c>
      <c r="T1" s="2" t="str">
        <f t="shared" ca="1" si="0"/>
        <v>DEZEMBRO</v>
      </c>
      <c r="U1" s="2" t="str">
        <f t="shared" ca="1" si="0"/>
        <v>JANEIRO</v>
      </c>
      <c r="V1" s="2" t="str">
        <f t="shared" ca="1" si="0"/>
        <v>FEVEREIRO</v>
      </c>
      <c r="W1" s="2" t="str">
        <f t="shared" ca="1" si="0"/>
        <v>MARÇO</v>
      </c>
      <c r="X1" s="154"/>
    </row>
    <row r="2" spans="1:24" ht="14.25" hidden="1" customHeight="1" thickBot="1" x14ac:dyDescent="0.3">
      <c r="A2" s="3">
        <f ca="1">A1</f>
        <v>44644</v>
      </c>
      <c r="B2" s="4" t="s">
        <v>11</v>
      </c>
      <c r="C2" s="4">
        <f ca="1">IF(AND(MONTH(A2)=12,D2=1),YEAR(A2)+1,YEAR(A2))</f>
        <v>2022</v>
      </c>
      <c r="D2" s="4">
        <f ca="1">IF(OR(DAY(A2)&lt;4,DAY(A2)=4),MONTH(A2),MONTH(A2)+1)</f>
        <v>4</v>
      </c>
      <c r="E2" s="4" t="s">
        <v>12</v>
      </c>
      <c r="F2" s="4" t="s">
        <v>13</v>
      </c>
      <c r="G2" s="4" t="s">
        <v>178</v>
      </c>
      <c r="H2" s="5"/>
      <c r="I2" s="5"/>
      <c r="J2" s="4" t="str">
        <f ca="1">IF(AND(DAY(A2)&lt;5,MONTH(A2)&lt;D2),B3,UPPER(TEXT(DATE(YEAR(TODAY()),D2+1,1),"MMMM")))</f>
        <v>MAIO</v>
      </c>
      <c r="K2" s="5"/>
      <c r="L2" s="5"/>
      <c r="M2" s="6">
        <f t="shared" ref="M2:W2" ca="1" si="1">IF(M3&lt;$D$2,YEAR(DATE(YEAR($A$2)+1,1,1)),YEAR($A$2))</f>
        <v>2022</v>
      </c>
      <c r="N2" s="6">
        <f t="shared" ca="1" si="1"/>
        <v>2022</v>
      </c>
      <c r="O2" s="6">
        <f t="shared" ca="1" si="1"/>
        <v>2022</v>
      </c>
      <c r="P2" s="6">
        <f t="shared" ca="1" si="1"/>
        <v>2022</v>
      </c>
      <c r="Q2" s="6">
        <f t="shared" ca="1" si="1"/>
        <v>2022</v>
      </c>
      <c r="R2" s="6">
        <f t="shared" ca="1" si="1"/>
        <v>2022</v>
      </c>
      <c r="S2" s="6">
        <f t="shared" ca="1" si="1"/>
        <v>2022</v>
      </c>
      <c r="T2" s="6">
        <f t="shared" ca="1" si="1"/>
        <v>2022</v>
      </c>
      <c r="U2" s="6">
        <f t="shared" ca="1" si="1"/>
        <v>2023</v>
      </c>
      <c r="V2" s="6">
        <f t="shared" ca="1" si="1"/>
        <v>2023</v>
      </c>
      <c r="W2" s="6">
        <f t="shared" ca="1" si="1"/>
        <v>2023</v>
      </c>
      <c r="X2" s="154"/>
    </row>
    <row r="3" spans="1:24" ht="14.25" customHeight="1" thickBot="1" x14ac:dyDescent="0.3">
      <c r="A3" s="72"/>
      <c r="B3" s="342" t="str">
        <f ca="1">UPPER(TEXT(DATE(YEAR(TODAY()),D2,1),"MMMM"))</f>
        <v>ABRIL</v>
      </c>
      <c r="C3" s="343"/>
      <c r="D3" s="343"/>
      <c r="E3" s="343"/>
      <c r="F3" s="343"/>
      <c r="G3" s="343"/>
      <c r="H3" s="343"/>
      <c r="I3" s="344"/>
      <c r="J3" s="344"/>
      <c r="K3" s="344"/>
      <c r="L3" s="345"/>
      <c r="M3" s="6">
        <f ca="1">IF(D2+1&gt;12,IF(B3="DEZEMBRO",1,2),D2+1)</f>
        <v>5</v>
      </c>
      <c r="N3" s="6">
        <f t="shared" ref="N3:W3" ca="1" si="2">IF(M3+1&gt;12,1,M3+1)</f>
        <v>6</v>
      </c>
      <c r="O3" s="6">
        <f t="shared" ca="1" si="2"/>
        <v>7</v>
      </c>
      <c r="P3" s="6">
        <f t="shared" ca="1" si="2"/>
        <v>8</v>
      </c>
      <c r="Q3" s="6">
        <f t="shared" ca="1" si="2"/>
        <v>9</v>
      </c>
      <c r="R3" s="6">
        <f t="shared" ca="1" si="2"/>
        <v>10</v>
      </c>
      <c r="S3" s="6">
        <f t="shared" ca="1" si="2"/>
        <v>11</v>
      </c>
      <c r="T3" s="6">
        <f t="shared" ca="1" si="2"/>
        <v>12</v>
      </c>
      <c r="U3" s="6">
        <f t="shared" ca="1" si="2"/>
        <v>1</v>
      </c>
      <c r="V3" s="6">
        <f t="shared" ca="1" si="2"/>
        <v>2</v>
      </c>
      <c r="W3" s="6">
        <f t="shared" ca="1" si="2"/>
        <v>3</v>
      </c>
      <c r="X3" s="154"/>
    </row>
    <row r="4" spans="1:24" ht="14.25" customHeight="1" thickBot="1" x14ac:dyDescent="0.3">
      <c r="A4" s="73"/>
      <c r="B4" s="376" t="s">
        <v>108</v>
      </c>
      <c r="C4" s="377"/>
      <c r="D4" s="377"/>
      <c r="E4" s="377"/>
      <c r="F4" s="377"/>
      <c r="G4" s="377"/>
      <c r="H4" s="377"/>
      <c r="I4" s="378"/>
      <c r="J4" s="379"/>
      <c r="K4" s="379"/>
      <c r="L4" s="380"/>
      <c r="M4" s="374" t="str">
        <f>B4</f>
        <v>CARTÃO-01 | FINAL:XXXX</v>
      </c>
      <c r="N4" s="374"/>
      <c r="O4" s="374"/>
      <c r="P4" s="374"/>
      <c r="Q4" s="374"/>
      <c r="R4" s="374"/>
      <c r="S4" s="374"/>
      <c r="T4" s="374"/>
      <c r="U4" s="374"/>
      <c r="V4" s="374"/>
      <c r="W4" s="375"/>
      <c r="X4" s="76"/>
    </row>
    <row r="5" spans="1:24" ht="14.25" customHeight="1" x14ac:dyDescent="0.25">
      <c r="A5" s="73"/>
      <c r="B5" s="212">
        <v>43650</v>
      </c>
      <c r="C5" s="213" t="s">
        <v>15</v>
      </c>
      <c r="D5" s="214" t="s">
        <v>111</v>
      </c>
      <c r="E5" s="215" t="s">
        <v>112</v>
      </c>
      <c r="F5" s="216" t="s">
        <v>16</v>
      </c>
      <c r="G5" s="214" t="s">
        <v>14</v>
      </c>
      <c r="H5" s="217">
        <v>400</v>
      </c>
      <c r="I5" s="317">
        <f ca="1">IF(AND(F5="anual",MONTH(B5)&lt;&gt;$D$2),0,IF(OR(J5=0,J5="TOTALMENTE PAGA"),0,H5))</f>
        <v>400</v>
      </c>
      <c r="J5" s="318">
        <f>IF(OR(G5=0,B5=0,F5=0),"INSERIR DATAS E TOT PARC",IF(OR(F5="mensal",F5="anual"),IF(F5="anual",IF(OR(AND((MONTH(B5)=MONTH($A$2)),(DAY(B5)&gt;DAY($A$2))),AND((MONTH(B5)-1=MONTH($A$2)),(DAY(B5)&lt;=DAY($A$2)))),1,0),1),IF(B5&gt;G5,"DATAS INVALIDAS",IF(OR($A$2&lt;EDATE(G5,-1),$A$2=EDATE(G5,-1)),0,IF(OR($A$2&lt;G5,$A$2=G5),1,IF(DAY($A$2)&lt;5,IF(((YEAR($A$2)-YEAR(G5))*12+(MONTH($A$2)-MONTH(G5)+1))&gt;F5,"TOTALMENTE PAGA",(YEAR($A$2)-YEAR(G5))*12+(MONTH($A$2)-MONTH(G5)+1)),IF(($A$2&gt;K5),"TOTALMENTE PAGA",(YEAR($A$2)-YEAR(G5))*12+(MONTH($A$2)-MONTH(G5)+2))))))))</f>
        <v>1</v>
      </c>
      <c r="K5" s="229" t="str">
        <f t="shared" ref="K5:K44" si="3">IF(OR(F5="anual",F5="mensal",B5=0),"---",EDATE(G5,F5-1))</f>
        <v>---</v>
      </c>
      <c r="L5" s="319">
        <f t="shared" ref="L5:L44" si="4">IF(OR(F5="mensal",F5="anual"),IF(J5=1,H5,0),IF(H5=0,0,IF(J5="TOTALMENTE PAGA",0,(F5-J5)*H5)))</f>
        <v>400</v>
      </c>
      <c r="M5" s="231">
        <f ca="1">IF(F5="anual",IF(MONTH(B5)=$M$3,H5,0),IF(F5="mensal",I5,IF(K5="---",0,IF($M$2&lt;YEAR(K5),H5,IF($M$2=YEAR(K5),IF(OR($M$3&lt;MONTH(K5),$M$3=MONTH(K5)),H5,0),0)))))</f>
        <v>400</v>
      </c>
      <c r="N5" s="232">
        <f ca="1">IF(F5="anual",IF(MONTH(B5)=$N$3,H5,0),IF(F5="mensal",I5,IF(K5="---",0,IF($N$2&lt;YEAR(K5),H5,IF($N$2=YEAR(K5),IF(OR($N$3&lt;MONTH(K5),$N$3=MONTH(K5)),H5,0),0)))))</f>
        <v>400</v>
      </c>
      <c r="O5" s="232">
        <f ca="1">IF(F5="anual",IF(MONTH(B5)=$O$3,H5,0),IF(F5="mensal",I5,IF(K5="---",0,IF($O$2&lt;YEAR(K5),H5,IF($O$2=YEAR(K5),IF(OR($O$3&lt;MONTH(K5),$O$3=MONTH(K5)),H5,0),0)))))</f>
        <v>400</v>
      </c>
      <c r="P5" s="232">
        <f ca="1">IF(F5="anual",IF(MONTH(B5)=$P$3,H5,0),IF(F5="mensal",I5,IF(K5="---",0,IF($P$2&lt;YEAR(K5),H5,IF($P$2=YEAR(K5),IF(OR($P$3&lt;MONTH(K5),$P$3=MONTH(K5)),H5,0),0)))))</f>
        <v>400</v>
      </c>
      <c r="Q5" s="232">
        <f ca="1">IF(F5="anual",IF(MONTH(B5)=$Q$3,H5,0),IF(F5="mensal",I5,IF(K5="---",0,IF($Q$2&lt;YEAR(K5),H5,IF($Q$2=YEAR(K5),IF(OR($Q$3&lt;MONTH(K5),$Q$3=MONTH(K5)),H5,0),0)))))</f>
        <v>400</v>
      </c>
      <c r="R5" s="232">
        <f ca="1">IF(F5="anual",IF(MONTH(B5)=$R$3,H5,0),IF(F5="mensal",I5,IF(K5="---",0,IF($R$2&lt;YEAR(K5),H5,IF($R$2=YEAR(K5),IF(OR($R$3&lt;MONTH(K5),$R$3=MONTH(K5)),H5,0),0)))))</f>
        <v>400</v>
      </c>
      <c r="S5" s="232">
        <f ca="1">IF(F5="anual",IF(MONTH(B5)=$S$3,H5,0),IF(F5="mensal",I5,IF(K5="---",0,IF($S$2&lt;YEAR(K5),H5,IF($S$2=YEAR(K5),IF(OR($S$3&lt;MONTH(K5),$S$3=MONTH(K5)),H5,0),0)))))</f>
        <v>400</v>
      </c>
      <c r="T5" s="232">
        <f ca="1">IF(F5="anual",IF(MONTH(B5)=$T$3,H5,0),IF(F5="mensal",I5,IF(K5="---",0,IF($T$2&lt;YEAR(K5),H5,IF($T$2=YEAR(K5),IF(OR($T$3&lt;MONTH(K5),$T$3=MONTH(K5)),H5,0),0)))))</f>
        <v>400</v>
      </c>
      <c r="U5" s="232">
        <f ca="1">IF(F5="anual",IF(MONTH(B5)=$U$3,H5,0),IF(F5="mensal",I5,IF(K5="---",0,IF($U$2&lt;YEAR(K5),H5,IF($U$2=YEAR(K5),IF(OR($U$3&lt;MONTH(K5),$U$3=MONTH(K5)),H5,0),0)))))</f>
        <v>400</v>
      </c>
      <c r="V5" s="232">
        <f ca="1">IF(F5="anual",IF(MONTH(B5)=$V$3,H5,0),IF(F5="mensal",I5,IF(K5="---",0,IF($V$2&lt;YEAR(K5),H5,IF($V$2=YEAR(K5),IF(OR($V$3&lt;MONTH(K5),$V$3=MONTH(K5)),H5,0),0)))))</f>
        <v>400</v>
      </c>
      <c r="W5" s="233">
        <f ca="1">IF(F5="anual",IF(MONTH(B5)=$W$3,H5,0),IF(F5="mensal",I5,IF(K5="---",0,IF($W$2&lt;YEAR(K5),H5,IF($W$2=YEAR(K5),IF(OR($W$3&lt;MONTH(K5),$W$3=MONTH(K5)),H5,0),0)))))</f>
        <v>400</v>
      </c>
      <c r="X5" s="234"/>
    </row>
    <row r="6" spans="1:24" ht="14.25" customHeight="1" x14ac:dyDescent="0.25">
      <c r="A6" s="74"/>
      <c r="B6" s="212">
        <v>44535</v>
      </c>
      <c r="C6" s="213" t="s">
        <v>17</v>
      </c>
      <c r="D6" s="214" t="s">
        <v>110</v>
      </c>
      <c r="E6" s="215" t="s">
        <v>109</v>
      </c>
      <c r="F6" s="216" t="s">
        <v>18</v>
      </c>
      <c r="G6" s="214">
        <v>44535</v>
      </c>
      <c r="H6" s="217">
        <v>89</v>
      </c>
      <c r="I6" s="227">
        <f t="shared" ref="I6:I44" ca="1" si="5">IF(AND(F6="anual",MONTH(B6)&lt;&gt;$D$2),0,IF(OR(J6=0,J6="TOTALMENTE PAGA"),0,H6))</f>
        <v>0</v>
      </c>
      <c r="J6" s="228">
        <f t="shared" ref="J6:J44" ca="1" si="6">IF(OR(G6=0,B6=0,F6=0),"INSERIR DATAS E TOT PARC",IF(OR(F6="mensal",F6="anual"),IF(F6="anual",IF(OR(AND((MONTH(B6)=MONTH($A$2)),(DAY(B6)&gt;DAY($A$2))),AND((MONTH(B6)-1=MONTH($A$2)),(DAY(B6)&lt;=DAY($A$2)))),1,0),1),IF(B6&gt;G6,"DATAS INVALIDAS",IF(OR($A$2&lt;EDATE(G6,-1),$A$2=EDATE(G6,-1)),0,IF(OR($A$2&lt;G6,$A$2=G6),1,IF(DAY($A$2)&lt;5,IF(((YEAR($A$2)-YEAR(G6))*12+(MONTH($A$2)-MONTH(G6)+1))&gt;F6,"TOTALMENTE PAGA",(YEAR($A$2)-YEAR(G6))*12+(MONTH($A$2)-MONTH(G6)+1)),IF(($A$2&gt;K6),"TOTALMENTE PAGA",(YEAR($A$2)-YEAR(G6))*12+(MONTH($A$2)-MONTH(G6)+2))))))))</f>
        <v>0</v>
      </c>
      <c r="K6" s="229" t="str">
        <f t="shared" si="3"/>
        <v>---</v>
      </c>
      <c r="L6" s="230">
        <f t="shared" ca="1" si="4"/>
        <v>0</v>
      </c>
      <c r="M6" s="231">
        <f t="shared" ref="M6:M37" ca="1" si="7">IF(F6="anual",IF(MONTH(B6)=$M$3,H6,0),IF(F6="mensal",I6,IF(K6="---",0,IF($M$2&lt;YEAR(K6),H6,IF($M$2=YEAR(K6),IF(OR($M$3&lt;MONTH(K6),$M$3=MONTH(K6)),H6,0),0)))))</f>
        <v>0</v>
      </c>
      <c r="N6" s="232">
        <f t="shared" ref="N6:N37" ca="1" si="8">IF(F6="anual",IF(MONTH(B6)=$N$3,H6,0),IF(F6="mensal",I6,IF(K6="---",0,IF($N$2&lt;YEAR(K6),H6,IF($N$2=YEAR(K6),IF(OR($N$3&lt;MONTH(K6),$N$3=MONTH(K6)),H6,0),0)))))</f>
        <v>0</v>
      </c>
      <c r="O6" s="232">
        <f t="shared" ref="O6:O37" ca="1" si="9">IF(F6="anual",IF(MONTH(B6)=$O$3,H6,0),IF(F6="mensal",I6,IF(K6="---",0,IF($O$2&lt;YEAR(K6),H6,IF($O$2=YEAR(K6),IF(OR($O$3&lt;MONTH(K6),$O$3=MONTH(K6)),H6,0),0)))))</f>
        <v>0</v>
      </c>
      <c r="P6" s="232">
        <f t="shared" ref="P6:P37" ca="1" si="10">IF(F6="anual",IF(MONTH(B6)=$P$3,H6,0),IF(F6="mensal",I6,IF(K6="---",0,IF($P$2&lt;YEAR(K6),H6,IF($P$2=YEAR(K6),IF(OR($P$3&lt;MONTH(K6),$P$3=MONTH(K6)),H6,0),0)))))</f>
        <v>0</v>
      </c>
      <c r="Q6" s="232">
        <f t="shared" ref="Q6:Q37" ca="1" si="11">IF(F6="anual",IF(MONTH(B6)=$Q$3,H6,0),IF(F6="mensal",I6,IF(K6="---",0,IF($Q$2&lt;YEAR(K6),H6,IF($Q$2=YEAR(K6),IF(OR($Q$3&lt;MONTH(K6),$Q$3=MONTH(K6)),H6,0),0)))))</f>
        <v>0</v>
      </c>
      <c r="R6" s="232">
        <f t="shared" ref="R6:R37" ca="1" si="12">IF(F6="anual",IF(MONTH(B6)=$R$3,H6,0),IF(F6="mensal",I6,IF(K6="---",0,IF($R$2&lt;YEAR(K6),H6,IF($R$2=YEAR(K6),IF(OR($R$3&lt;MONTH(K6),$R$3=MONTH(K6)),H6,0),0)))))</f>
        <v>0</v>
      </c>
      <c r="S6" s="232">
        <f t="shared" ref="S6:S37" ca="1" si="13">IF(F6="anual",IF(MONTH(B6)=$S$3,H6,0),IF(F6="mensal",I6,IF(K6="---",0,IF($S$2&lt;YEAR(K6),H6,IF($S$2=YEAR(K6),IF(OR($S$3&lt;MONTH(K6),$S$3=MONTH(K6)),H6,0),0)))))</f>
        <v>0</v>
      </c>
      <c r="T6" s="232">
        <f t="shared" ref="T6:T37" ca="1" si="14">IF(F6="anual",IF(MONTH(B6)=$T$3,H6,0),IF(F6="mensal",I6,IF(K6="---",0,IF($T$2&lt;YEAR(K6),H6,IF($T$2=YEAR(K6),IF(OR($T$3&lt;MONTH(K6),$T$3=MONTH(K6)),H6,0),0)))))</f>
        <v>89</v>
      </c>
      <c r="U6" s="232">
        <f t="shared" ref="U6:U37" ca="1" si="15">IF(F6="anual",IF(MONTH(B6)=$U$3,H6,0),IF(F6="mensal",I6,IF(K6="---",0,IF($U$2&lt;YEAR(K6),H6,IF($U$2=YEAR(K6),IF(OR($U$3&lt;MONTH(K6),$U$3=MONTH(K6)),H6,0),0)))))</f>
        <v>0</v>
      </c>
      <c r="V6" s="232">
        <f t="shared" ref="V6:V37" ca="1" si="16">IF(F6="anual",IF(MONTH(B6)=$V$3,H6,0),IF(F6="mensal",I6,IF(K6="---",0,IF($V$2&lt;YEAR(K6),H6,IF($V$2=YEAR(K6),IF(OR($V$3&lt;MONTH(K6),$V$3=MONTH(K6)),H6,0),0)))))</f>
        <v>0</v>
      </c>
      <c r="W6" s="233">
        <f t="shared" ref="W6:W37" ca="1" si="17">IF(F6="anual",IF(MONTH(B6)=$W$3,H6,0),IF(F6="mensal",I6,IF(K6="---",0,IF($W$2&lt;YEAR(K6),H6,IF($W$2=YEAR(K6),IF(OR($W$3&lt;MONTH(K6),$W$3=MONTH(K6)),H6,0),0)))))</f>
        <v>0</v>
      </c>
      <c r="X6" s="234"/>
    </row>
    <row r="7" spans="1:24" ht="14.25" customHeight="1" x14ac:dyDescent="0.25">
      <c r="A7" s="72"/>
      <c r="B7" s="212"/>
      <c r="C7" s="213"/>
      <c r="D7" s="214"/>
      <c r="E7" s="215"/>
      <c r="F7" s="216"/>
      <c r="G7" s="214"/>
      <c r="H7" s="217"/>
      <c r="I7" s="227">
        <f t="shared" ca="1" si="5"/>
        <v>0</v>
      </c>
      <c r="J7" s="228" t="str">
        <f t="shared" si="6"/>
        <v>INSERIR DATAS E TOT PARC</v>
      </c>
      <c r="K7" s="229" t="str">
        <f t="shared" si="3"/>
        <v>---</v>
      </c>
      <c r="L7" s="230">
        <f t="shared" si="4"/>
        <v>0</v>
      </c>
      <c r="M7" s="231">
        <f t="shared" si="7"/>
        <v>0</v>
      </c>
      <c r="N7" s="232">
        <f t="shared" si="8"/>
        <v>0</v>
      </c>
      <c r="O7" s="232">
        <f t="shared" si="9"/>
        <v>0</v>
      </c>
      <c r="P7" s="232">
        <f t="shared" si="10"/>
        <v>0</v>
      </c>
      <c r="Q7" s="232">
        <f t="shared" si="11"/>
        <v>0</v>
      </c>
      <c r="R7" s="232">
        <f t="shared" si="12"/>
        <v>0</v>
      </c>
      <c r="S7" s="232">
        <f t="shared" si="13"/>
        <v>0</v>
      </c>
      <c r="T7" s="232">
        <f t="shared" si="14"/>
        <v>0</v>
      </c>
      <c r="U7" s="232">
        <f t="shared" si="15"/>
        <v>0</v>
      </c>
      <c r="V7" s="232">
        <f t="shared" si="16"/>
        <v>0</v>
      </c>
      <c r="W7" s="233">
        <f t="shared" si="17"/>
        <v>0</v>
      </c>
      <c r="X7" s="234"/>
    </row>
    <row r="8" spans="1:24" ht="14.25" customHeight="1" x14ac:dyDescent="0.25">
      <c r="A8" s="72"/>
      <c r="B8" s="212"/>
      <c r="C8" s="213"/>
      <c r="D8" s="214"/>
      <c r="E8" s="215"/>
      <c r="F8" s="216"/>
      <c r="G8" s="214"/>
      <c r="H8" s="217"/>
      <c r="I8" s="227">
        <f t="shared" ca="1" si="5"/>
        <v>0</v>
      </c>
      <c r="J8" s="228" t="str">
        <f t="shared" si="6"/>
        <v>INSERIR DATAS E TOT PARC</v>
      </c>
      <c r="K8" s="229" t="str">
        <f t="shared" si="3"/>
        <v>---</v>
      </c>
      <c r="L8" s="230">
        <f t="shared" si="4"/>
        <v>0</v>
      </c>
      <c r="M8" s="231">
        <f t="shared" si="7"/>
        <v>0</v>
      </c>
      <c r="N8" s="232">
        <f t="shared" si="8"/>
        <v>0</v>
      </c>
      <c r="O8" s="232">
        <f t="shared" si="9"/>
        <v>0</v>
      </c>
      <c r="P8" s="232">
        <f t="shared" si="10"/>
        <v>0</v>
      </c>
      <c r="Q8" s="232">
        <f t="shared" si="11"/>
        <v>0</v>
      </c>
      <c r="R8" s="232">
        <f t="shared" si="12"/>
        <v>0</v>
      </c>
      <c r="S8" s="232">
        <f t="shared" si="13"/>
        <v>0</v>
      </c>
      <c r="T8" s="232">
        <f t="shared" si="14"/>
        <v>0</v>
      </c>
      <c r="U8" s="232">
        <f t="shared" si="15"/>
        <v>0</v>
      </c>
      <c r="V8" s="232">
        <f t="shared" si="16"/>
        <v>0</v>
      </c>
      <c r="W8" s="233">
        <f t="shared" si="17"/>
        <v>0</v>
      </c>
      <c r="X8" s="234"/>
    </row>
    <row r="9" spans="1:24" ht="14.25" customHeight="1" x14ac:dyDescent="0.25">
      <c r="A9" s="76"/>
      <c r="B9" s="212"/>
      <c r="C9" s="213"/>
      <c r="D9" s="214"/>
      <c r="E9" s="215"/>
      <c r="F9" s="216"/>
      <c r="G9" s="214"/>
      <c r="H9" s="217"/>
      <c r="I9" s="227">
        <f t="shared" ca="1" si="5"/>
        <v>0</v>
      </c>
      <c r="J9" s="228" t="str">
        <f t="shared" si="6"/>
        <v>INSERIR DATAS E TOT PARC</v>
      </c>
      <c r="K9" s="229" t="str">
        <f t="shared" si="3"/>
        <v>---</v>
      </c>
      <c r="L9" s="230">
        <f t="shared" si="4"/>
        <v>0</v>
      </c>
      <c r="M9" s="231">
        <f t="shared" si="7"/>
        <v>0</v>
      </c>
      <c r="N9" s="232">
        <f t="shared" si="8"/>
        <v>0</v>
      </c>
      <c r="O9" s="232">
        <f t="shared" si="9"/>
        <v>0</v>
      </c>
      <c r="P9" s="232">
        <f t="shared" si="10"/>
        <v>0</v>
      </c>
      <c r="Q9" s="232">
        <f t="shared" si="11"/>
        <v>0</v>
      </c>
      <c r="R9" s="232">
        <f t="shared" si="12"/>
        <v>0</v>
      </c>
      <c r="S9" s="232">
        <f t="shared" si="13"/>
        <v>0</v>
      </c>
      <c r="T9" s="232">
        <f t="shared" si="14"/>
        <v>0</v>
      </c>
      <c r="U9" s="232">
        <f t="shared" si="15"/>
        <v>0</v>
      </c>
      <c r="V9" s="232">
        <f t="shared" si="16"/>
        <v>0</v>
      </c>
      <c r="W9" s="233">
        <f t="shared" si="17"/>
        <v>0</v>
      </c>
      <c r="X9" s="234"/>
    </row>
    <row r="10" spans="1:24" ht="14.25" customHeight="1" x14ac:dyDescent="0.25">
      <c r="B10" s="212"/>
      <c r="C10" s="213"/>
      <c r="D10" s="214"/>
      <c r="E10" s="215"/>
      <c r="F10" s="216"/>
      <c r="G10" s="214"/>
      <c r="H10" s="217"/>
      <c r="I10" s="227">
        <f t="shared" ca="1" si="5"/>
        <v>0</v>
      </c>
      <c r="J10" s="228" t="str">
        <f t="shared" si="6"/>
        <v>INSERIR DATAS E TOT PARC</v>
      </c>
      <c r="K10" s="229" t="str">
        <f t="shared" si="3"/>
        <v>---</v>
      </c>
      <c r="L10" s="230">
        <f t="shared" si="4"/>
        <v>0</v>
      </c>
      <c r="M10" s="231">
        <f t="shared" si="7"/>
        <v>0</v>
      </c>
      <c r="N10" s="232">
        <f t="shared" si="8"/>
        <v>0</v>
      </c>
      <c r="O10" s="232">
        <f t="shared" si="9"/>
        <v>0</v>
      </c>
      <c r="P10" s="232">
        <f t="shared" si="10"/>
        <v>0</v>
      </c>
      <c r="Q10" s="232">
        <f t="shared" si="11"/>
        <v>0</v>
      </c>
      <c r="R10" s="232">
        <f t="shared" si="12"/>
        <v>0</v>
      </c>
      <c r="S10" s="232">
        <f t="shared" si="13"/>
        <v>0</v>
      </c>
      <c r="T10" s="232">
        <f t="shared" si="14"/>
        <v>0</v>
      </c>
      <c r="U10" s="232">
        <f t="shared" si="15"/>
        <v>0</v>
      </c>
      <c r="V10" s="232">
        <f t="shared" si="16"/>
        <v>0</v>
      </c>
      <c r="W10" s="233">
        <f t="shared" si="17"/>
        <v>0</v>
      </c>
      <c r="X10" s="234"/>
    </row>
    <row r="11" spans="1:24" ht="14.25" customHeight="1" x14ac:dyDescent="0.25">
      <c r="A11" s="76"/>
      <c r="B11" s="212"/>
      <c r="C11" s="213"/>
      <c r="D11" s="214"/>
      <c r="E11" s="215"/>
      <c r="F11" s="216"/>
      <c r="G11" s="214"/>
      <c r="H11" s="217"/>
      <c r="I11" s="227">
        <f t="shared" ca="1" si="5"/>
        <v>0</v>
      </c>
      <c r="J11" s="228" t="str">
        <f t="shared" si="6"/>
        <v>INSERIR DATAS E TOT PARC</v>
      </c>
      <c r="K11" s="229" t="str">
        <f t="shared" si="3"/>
        <v>---</v>
      </c>
      <c r="L11" s="230">
        <f t="shared" si="4"/>
        <v>0</v>
      </c>
      <c r="M11" s="231">
        <f t="shared" si="7"/>
        <v>0</v>
      </c>
      <c r="N11" s="232">
        <f t="shared" si="8"/>
        <v>0</v>
      </c>
      <c r="O11" s="232">
        <f t="shared" si="9"/>
        <v>0</v>
      </c>
      <c r="P11" s="232">
        <f t="shared" si="10"/>
        <v>0</v>
      </c>
      <c r="Q11" s="232">
        <f t="shared" si="11"/>
        <v>0</v>
      </c>
      <c r="R11" s="232">
        <f t="shared" si="12"/>
        <v>0</v>
      </c>
      <c r="S11" s="232">
        <f t="shared" si="13"/>
        <v>0</v>
      </c>
      <c r="T11" s="232">
        <f t="shared" si="14"/>
        <v>0</v>
      </c>
      <c r="U11" s="232">
        <f t="shared" si="15"/>
        <v>0</v>
      </c>
      <c r="V11" s="232">
        <f t="shared" si="16"/>
        <v>0</v>
      </c>
      <c r="W11" s="233">
        <f t="shared" si="17"/>
        <v>0</v>
      </c>
      <c r="X11" s="234"/>
    </row>
    <row r="12" spans="1:24" ht="14.25" customHeight="1" x14ac:dyDescent="0.25">
      <c r="A12" s="15"/>
      <c r="B12" s="212"/>
      <c r="C12" s="213"/>
      <c r="D12" s="214"/>
      <c r="E12" s="215"/>
      <c r="F12" s="216"/>
      <c r="G12" s="214"/>
      <c r="H12" s="217"/>
      <c r="I12" s="227">
        <f t="shared" ca="1" si="5"/>
        <v>0</v>
      </c>
      <c r="J12" s="228" t="str">
        <f t="shared" si="6"/>
        <v>INSERIR DATAS E TOT PARC</v>
      </c>
      <c r="K12" s="229" t="str">
        <f t="shared" si="3"/>
        <v>---</v>
      </c>
      <c r="L12" s="230">
        <f t="shared" si="4"/>
        <v>0</v>
      </c>
      <c r="M12" s="231">
        <f t="shared" si="7"/>
        <v>0</v>
      </c>
      <c r="N12" s="232">
        <f t="shared" si="8"/>
        <v>0</v>
      </c>
      <c r="O12" s="232">
        <f t="shared" si="9"/>
        <v>0</v>
      </c>
      <c r="P12" s="232">
        <f t="shared" si="10"/>
        <v>0</v>
      </c>
      <c r="Q12" s="232">
        <f t="shared" si="11"/>
        <v>0</v>
      </c>
      <c r="R12" s="232">
        <f t="shared" si="12"/>
        <v>0</v>
      </c>
      <c r="S12" s="232">
        <f t="shared" si="13"/>
        <v>0</v>
      </c>
      <c r="T12" s="232">
        <f t="shared" si="14"/>
        <v>0</v>
      </c>
      <c r="U12" s="232">
        <f t="shared" si="15"/>
        <v>0</v>
      </c>
      <c r="V12" s="232">
        <f t="shared" si="16"/>
        <v>0</v>
      </c>
      <c r="W12" s="233">
        <f t="shared" si="17"/>
        <v>0</v>
      </c>
      <c r="X12" s="234"/>
    </row>
    <row r="13" spans="1:24" ht="14.25" customHeight="1" x14ac:dyDescent="0.25">
      <c r="B13" s="212"/>
      <c r="C13" s="213"/>
      <c r="D13" s="214"/>
      <c r="E13" s="215"/>
      <c r="F13" s="216"/>
      <c r="G13" s="214"/>
      <c r="H13" s="217"/>
      <c r="I13" s="227">
        <f t="shared" ca="1" si="5"/>
        <v>0</v>
      </c>
      <c r="J13" s="228" t="str">
        <f t="shared" si="6"/>
        <v>INSERIR DATAS E TOT PARC</v>
      </c>
      <c r="K13" s="229" t="str">
        <f t="shared" si="3"/>
        <v>---</v>
      </c>
      <c r="L13" s="230">
        <f t="shared" si="4"/>
        <v>0</v>
      </c>
      <c r="M13" s="231">
        <f t="shared" si="7"/>
        <v>0</v>
      </c>
      <c r="N13" s="232">
        <f t="shared" si="8"/>
        <v>0</v>
      </c>
      <c r="O13" s="232">
        <f t="shared" si="9"/>
        <v>0</v>
      </c>
      <c r="P13" s="232">
        <f t="shared" si="10"/>
        <v>0</v>
      </c>
      <c r="Q13" s="232">
        <f t="shared" si="11"/>
        <v>0</v>
      </c>
      <c r="R13" s="232">
        <f t="shared" si="12"/>
        <v>0</v>
      </c>
      <c r="S13" s="232">
        <f t="shared" si="13"/>
        <v>0</v>
      </c>
      <c r="T13" s="232">
        <f t="shared" si="14"/>
        <v>0</v>
      </c>
      <c r="U13" s="232">
        <f t="shared" si="15"/>
        <v>0</v>
      </c>
      <c r="V13" s="232">
        <f t="shared" si="16"/>
        <v>0</v>
      </c>
      <c r="W13" s="233">
        <f t="shared" si="17"/>
        <v>0</v>
      </c>
      <c r="X13" s="234"/>
    </row>
    <row r="14" spans="1:24" ht="14.25" customHeight="1" x14ac:dyDescent="0.25">
      <c r="B14" s="212"/>
      <c r="C14" s="213"/>
      <c r="D14" s="214"/>
      <c r="E14" s="215"/>
      <c r="F14" s="216"/>
      <c r="G14" s="214"/>
      <c r="H14" s="218"/>
      <c r="I14" s="227">
        <f t="shared" ca="1" si="5"/>
        <v>0</v>
      </c>
      <c r="J14" s="228" t="str">
        <f t="shared" si="6"/>
        <v>INSERIR DATAS E TOT PARC</v>
      </c>
      <c r="K14" s="229" t="str">
        <f t="shared" si="3"/>
        <v>---</v>
      </c>
      <c r="L14" s="230">
        <f t="shared" si="4"/>
        <v>0</v>
      </c>
      <c r="M14" s="231">
        <f t="shared" si="7"/>
        <v>0</v>
      </c>
      <c r="N14" s="232">
        <f t="shared" si="8"/>
        <v>0</v>
      </c>
      <c r="O14" s="232">
        <f t="shared" si="9"/>
        <v>0</v>
      </c>
      <c r="P14" s="232">
        <f t="shared" si="10"/>
        <v>0</v>
      </c>
      <c r="Q14" s="232">
        <f t="shared" si="11"/>
        <v>0</v>
      </c>
      <c r="R14" s="232">
        <f t="shared" si="12"/>
        <v>0</v>
      </c>
      <c r="S14" s="232">
        <f t="shared" si="13"/>
        <v>0</v>
      </c>
      <c r="T14" s="232">
        <f t="shared" si="14"/>
        <v>0</v>
      </c>
      <c r="U14" s="232">
        <f t="shared" si="15"/>
        <v>0</v>
      </c>
      <c r="V14" s="232">
        <f t="shared" si="16"/>
        <v>0</v>
      </c>
      <c r="W14" s="233">
        <f t="shared" si="17"/>
        <v>0</v>
      </c>
      <c r="X14" s="234"/>
    </row>
    <row r="15" spans="1:24" ht="14.25" customHeight="1" x14ac:dyDescent="0.25">
      <c r="A15" s="5"/>
      <c r="B15" s="212"/>
      <c r="C15" s="213"/>
      <c r="D15" s="214"/>
      <c r="E15" s="215"/>
      <c r="F15" s="216"/>
      <c r="G15" s="214"/>
      <c r="H15" s="217"/>
      <c r="I15" s="227">
        <f t="shared" ca="1" si="5"/>
        <v>0</v>
      </c>
      <c r="J15" s="228" t="str">
        <f t="shared" si="6"/>
        <v>INSERIR DATAS E TOT PARC</v>
      </c>
      <c r="K15" s="229" t="str">
        <f t="shared" si="3"/>
        <v>---</v>
      </c>
      <c r="L15" s="230">
        <f t="shared" si="4"/>
        <v>0</v>
      </c>
      <c r="M15" s="231">
        <f t="shared" si="7"/>
        <v>0</v>
      </c>
      <c r="N15" s="232">
        <f t="shared" si="8"/>
        <v>0</v>
      </c>
      <c r="O15" s="232">
        <f t="shared" si="9"/>
        <v>0</v>
      </c>
      <c r="P15" s="232">
        <f t="shared" si="10"/>
        <v>0</v>
      </c>
      <c r="Q15" s="232">
        <f t="shared" si="11"/>
        <v>0</v>
      </c>
      <c r="R15" s="232">
        <f t="shared" si="12"/>
        <v>0</v>
      </c>
      <c r="S15" s="232">
        <f t="shared" si="13"/>
        <v>0</v>
      </c>
      <c r="T15" s="232">
        <f t="shared" si="14"/>
        <v>0</v>
      </c>
      <c r="U15" s="232">
        <f t="shared" si="15"/>
        <v>0</v>
      </c>
      <c r="V15" s="232">
        <f t="shared" si="16"/>
        <v>0</v>
      </c>
      <c r="W15" s="233">
        <f t="shared" si="17"/>
        <v>0</v>
      </c>
      <c r="X15" s="234"/>
    </row>
    <row r="16" spans="1:24" ht="14.25" customHeight="1" x14ac:dyDescent="0.25">
      <c r="B16" s="212"/>
      <c r="C16" s="213"/>
      <c r="D16" s="214"/>
      <c r="E16" s="215"/>
      <c r="F16" s="216"/>
      <c r="G16" s="214"/>
      <c r="H16" s="217"/>
      <c r="I16" s="227">
        <f t="shared" ca="1" si="5"/>
        <v>0</v>
      </c>
      <c r="J16" s="228" t="str">
        <f t="shared" si="6"/>
        <v>INSERIR DATAS E TOT PARC</v>
      </c>
      <c r="K16" s="229" t="str">
        <f t="shared" si="3"/>
        <v>---</v>
      </c>
      <c r="L16" s="230">
        <f t="shared" si="4"/>
        <v>0</v>
      </c>
      <c r="M16" s="231">
        <f t="shared" si="7"/>
        <v>0</v>
      </c>
      <c r="N16" s="232">
        <f t="shared" si="8"/>
        <v>0</v>
      </c>
      <c r="O16" s="232">
        <f t="shared" si="9"/>
        <v>0</v>
      </c>
      <c r="P16" s="232">
        <f t="shared" si="10"/>
        <v>0</v>
      </c>
      <c r="Q16" s="232">
        <f t="shared" si="11"/>
        <v>0</v>
      </c>
      <c r="R16" s="232">
        <f t="shared" si="12"/>
        <v>0</v>
      </c>
      <c r="S16" s="232">
        <f t="shared" si="13"/>
        <v>0</v>
      </c>
      <c r="T16" s="232">
        <f t="shared" si="14"/>
        <v>0</v>
      </c>
      <c r="U16" s="232">
        <f t="shared" si="15"/>
        <v>0</v>
      </c>
      <c r="V16" s="232">
        <f t="shared" si="16"/>
        <v>0</v>
      </c>
      <c r="W16" s="233">
        <f t="shared" si="17"/>
        <v>0</v>
      </c>
      <c r="X16" s="234"/>
    </row>
    <row r="17" spans="1:24" ht="14.25" customHeight="1" x14ac:dyDescent="0.25">
      <c r="B17" s="212"/>
      <c r="C17" s="213"/>
      <c r="D17" s="214"/>
      <c r="E17" s="215"/>
      <c r="F17" s="216"/>
      <c r="G17" s="214"/>
      <c r="H17" s="217"/>
      <c r="I17" s="227">
        <f t="shared" ca="1" si="5"/>
        <v>0</v>
      </c>
      <c r="J17" s="228" t="str">
        <f t="shared" si="6"/>
        <v>INSERIR DATAS E TOT PARC</v>
      </c>
      <c r="K17" s="229" t="str">
        <f t="shared" si="3"/>
        <v>---</v>
      </c>
      <c r="L17" s="230">
        <f t="shared" si="4"/>
        <v>0</v>
      </c>
      <c r="M17" s="231">
        <f t="shared" si="7"/>
        <v>0</v>
      </c>
      <c r="N17" s="232">
        <f t="shared" si="8"/>
        <v>0</v>
      </c>
      <c r="O17" s="232">
        <f t="shared" si="9"/>
        <v>0</v>
      </c>
      <c r="P17" s="232">
        <f t="shared" si="10"/>
        <v>0</v>
      </c>
      <c r="Q17" s="232">
        <f t="shared" si="11"/>
        <v>0</v>
      </c>
      <c r="R17" s="232">
        <f t="shared" si="12"/>
        <v>0</v>
      </c>
      <c r="S17" s="232">
        <f t="shared" si="13"/>
        <v>0</v>
      </c>
      <c r="T17" s="232">
        <f t="shared" si="14"/>
        <v>0</v>
      </c>
      <c r="U17" s="232">
        <f t="shared" si="15"/>
        <v>0</v>
      </c>
      <c r="V17" s="232">
        <f t="shared" si="16"/>
        <v>0</v>
      </c>
      <c r="W17" s="233">
        <f t="shared" si="17"/>
        <v>0</v>
      </c>
      <c r="X17" s="234"/>
    </row>
    <row r="18" spans="1:24" ht="14.25" customHeight="1" x14ac:dyDescent="0.25">
      <c r="A18" s="104"/>
      <c r="B18" s="212"/>
      <c r="C18" s="213"/>
      <c r="D18" s="214"/>
      <c r="E18" s="215"/>
      <c r="F18" s="216"/>
      <c r="G18" s="214"/>
      <c r="H18" s="217"/>
      <c r="I18" s="227">
        <f t="shared" ca="1" si="5"/>
        <v>0</v>
      </c>
      <c r="J18" s="228" t="str">
        <f t="shared" si="6"/>
        <v>INSERIR DATAS E TOT PARC</v>
      </c>
      <c r="K18" s="229" t="str">
        <f t="shared" si="3"/>
        <v>---</v>
      </c>
      <c r="L18" s="230">
        <f t="shared" si="4"/>
        <v>0</v>
      </c>
      <c r="M18" s="231">
        <f t="shared" si="7"/>
        <v>0</v>
      </c>
      <c r="N18" s="232">
        <f t="shared" si="8"/>
        <v>0</v>
      </c>
      <c r="O18" s="232">
        <f t="shared" si="9"/>
        <v>0</v>
      </c>
      <c r="P18" s="232">
        <f t="shared" si="10"/>
        <v>0</v>
      </c>
      <c r="Q18" s="232">
        <f t="shared" si="11"/>
        <v>0</v>
      </c>
      <c r="R18" s="232">
        <f t="shared" si="12"/>
        <v>0</v>
      </c>
      <c r="S18" s="232">
        <f t="shared" si="13"/>
        <v>0</v>
      </c>
      <c r="T18" s="232">
        <f t="shared" si="14"/>
        <v>0</v>
      </c>
      <c r="U18" s="232">
        <f t="shared" si="15"/>
        <v>0</v>
      </c>
      <c r="V18" s="232">
        <f t="shared" si="16"/>
        <v>0</v>
      </c>
      <c r="W18" s="233">
        <f t="shared" si="17"/>
        <v>0</v>
      </c>
      <c r="X18" s="234"/>
    </row>
    <row r="19" spans="1:24" ht="14.25" customHeight="1" x14ac:dyDescent="0.25">
      <c r="A19" s="76"/>
      <c r="B19" s="212"/>
      <c r="C19" s="213"/>
      <c r="D19" s="214"/>
      <c r="E19" s="215"/>
      <c r="F19" s="216"/>
      <c r="G19" s="214"/>
      <c r="H19" s="217"/>
      <c r="I19" s="227">
        <f t="shared" ca="1" si="5"/>
        <v>0</v>
      </c>
      <c r="J19" s="228" t="str">
        <f t="shared" si="6"/>
        <v>INSERIR DATAS E TOT PARC</v>
      </c>
      <c r="K19" s="229" t="str">
        <f t="shared" si="3"/>
        <v>---</v>
      </c>
      <c r="L19" s="230">
        <f t="shared" si="4"/>
        <v>0</v>
      </c>
      <c r="M19" s="231">
        <f t="shared" si="7"/>
        <v>0</v>
      </c>
      <c r="N19" s="232">
        <f t="shared" si="8"/>
        <v>0</v>
      </c>
      <c r="O19" s="232">
        <f t="shared" si="9"/>
        <v>0</v>
      </c>
      <c r="P19" s="232">
        <f t="shared" si="10"/>
        <v>0</v>
      </c>
      <c r="Q19" s="232">
        <f t="shared" si="11"/>
        <v>0</v>
      </c>
      <c r="R19" s="232">
        <f t="shared" si="12"/>
        <v>0</v>
      </c>
      <c r="S19" s="232">
        <f t="shared" si="13"/>
        <v>0</v>
      </c>
      <c r="T19" s="232">
        <f t="shared" si="14"/>
        <v>0</v>
      </c>
      <c r="U19" s="232">
        <f t="shared" si="15"/>
        <v>0</v>
      </c>
      <c r="V19" s="232">
        <f t="shared" si="16"/>
        <v>0</v>
      </c>
      <c r="W19" s="233">
        <f t="shared" si="17"/>
        <v>0</v>
      </c>
      <c r="X19" s="234"/>
    </row>
    <row r="20" spans="1:24" ht="14.25" customHeight="1" x14ac:dyDescent="0.25">
      <c r="A20" s="15"/>
      <c r="B20" s="212"/>
      <c r="C20" s="213"/>
      <c r="D20" s="214"/>
      <c r="E20" s="215"/>
      <c r="F20" s="216"/>
      <c r="G20" s="214"/>
      <c r="H20" s="217"/>
      <c r="I20" s="227">
        <f t="shared" ca="1" si="5"/>
        <v>0</v>
      </c>
      <c r="J20" s="228" t="str">
        <f t="shared" si="6"/>
        <v>INSERIR DATAS E TOT PARC</v>
      </c>
      <c r="K20" s="229" t="str">
        <f t="shared" si="3"/>
        <v>---</v>
      </c>
      <c r="L20" s="230">
        <f t="shared" si="4"/>
        <v>0</v>
      </c>
      <c r="M20" s="231">
        <f t="shared" si="7"/>
        <v>0</v>
      </c>
      <c r="N20" s="232">
        <f t="shared" si="8"/>
        <v>0</v>
      </c>
      <c r="O20" s="232">
        <f t="shared" si="9"/>
        <v>0</v>
      </c>
      <c r="P20" s="232">
        <f t="shared" si="10"/>
        <v>0</v>
      </c>
      <c r="Q20" s="232">
        <f t="shared" si="11"/>
        <v>0</v>
      </c>
      <c r="R20" s="232">
        <f t="shared" si="12"/>
        <v>0</v>
      </c>
      <c r="S20" s="232">
        <f t="shared" si="13"/>
        <v>0</v>
      </c>
      <c r="T20" s="232">
        <f t="shared" si="14"/>
        <v>0</v>
      </c>
      <c r="U20" s="232">
        <f t="shared" si="15"/>
        <v>0</v>
      </c>
      <c r="V20" s="232">
        <f t="shared" si="16"/>
        <v>0</v>
      </c>
      <c r="W20" s="233">
        <f t="shared" si="17"/>
        <v>0</v>
      </c>
      <c r="X20" s="234"/>
    </row>
    <row r="21" spans="1:24" ht="14.25" customHeight="1" x14ac:dyDescent="0.25">
      <c r="A21" s="104"/>
      <c r="B21" s="212"/>
      <c r="C21" s="213"/>
      <c r="D21" s="214"/>
      <c r="E21" s="215"/>
      <c r="F21" s="216"/>
      <c r="G21" s="214"/>
      <c r="H21" s="217"/>
      <c r="I21" s="227">
        <f t="shared" ca="1" si="5"/>
        <v>0</v>
      </c>
      <c r="J21" s="228" t="str">
        <f t="shared" si="6"/>
        <v>INSERIR DATAS E TOT PARC</v>
      </c>
      <c r="K21" s="229" t="str">
        <f t="shared" si="3"/>
        <v>---</v>
      </c>
      <c r="L21" s="230">
        <f t="shared" si="4"/>
        <v>0</v>
      </c>
      <c r="M21" s="231">
        <f t="shared" si="7"/>
        <v>0</v>
      </c>
      <c r="N21" s="232">
        <f t="shared" si="8"/>
        <v>0</v>
      </c>
      <c r="O21" s="232">
        <f t="shared" si="9"/>
        <v>0</v>
      </c>
      <c r="P21" s="232">
        <f t="shared" si="10"/>
        <v>0</v>
      </c>
      <c r="Q21" s="232">
        <f t="shared" si="11"/>
        <v>0</v>
      </c>
      <c r="R21" s="232">
        <f t="shared" si="12"/>
        <v>0</v>
      </c>
      <c r="S21" s="232">
        <f t="shared" si="13"/>
        <v>0</v>
      </c>
      <c r="T21" s="232">
        <f t="shared" si="14"/>
        <v>0</v>
      </c>
      <c r="U21" s="232">
        <f t="shared" si="15"/>
        <v>0</v>
      </c>
      <c r="V21" s="232">
        <f t="shared" si="16"/>
        <v>0</v>
      </c>
      <c r="W21" s="233">
        <f t="shared" si="17"/>
        <v>0</v>
      </c>
      <c r="X21" s="234"/>
    </row>
    <row r="22" spans="1:24" ht="14.25" customHeight="1" x14ac:dyDescent="0.25">
      <c r="A22" s="104"/>
      <c r="B22" s="212"/>
      <c r="C22" s="213"/>
      <c r="D22" s="214"/>
      <c r="E22" s="215"/>
      <c r="F22" s="216"/>
      <c r="G22" s="214"/>
      <c r="H22" s="217"/>
      <c r="I22" s="227">
        <f t="shared" ca="1" si="5"/>
        <v>0</v>
      </c>
      <c r="J22" s="228" t="str">
        <f t="shared" si="6"/>
        <v>INSERIR DATAS E TOT PARC</v>
      </c>
      <c r="K22" s="229" t="str">
        <f t="shared" si="3"/>
        <v>---</v>
      </c>
      <c r="L22" s="230">
        <f t="shared" si="4"/>
        <v>0</v>
      </c>
      <c r="M22" s="231">
        <f t="shared" si="7"/>
        <v>0</v>
      </c>
      <c r="N22" s="232">
        <f t="shared" si="8"/>
        <v>0</v>
      </c>
      <c r="O22" s="232">
        <f t="shared" si="9"/>
        <v>0</v>
      </c>
      <c r="P22" s="232">
        <f t="shared" si="10"/>
        <v>0</v>
      </c>
      <c r="Q22" s="232">
        <f t="shared" si="11"/>
        <v>0</v>
      </c>
      <c r="R22" s="232">
        <f t="shared" si="12"/>
        <v>0</v>
      </c>
      <c r="S22" s="232">
        <f t="shared" si="13"/>
        <v>0</v>
      </c>
      <c r="T22" s="232">
        <f t="shared" si="14"/>
        <v>0</v>
      </c>
      <c r="U22" s="232">
        <f t="shared" si="15"/>
        <v>0</v>
      </c>
      <c r="V22" s="232">
        <f t="shared" si="16"/>
        <v>0</v>
      </c>
      <c r="W22" s="233">
        <f t="shared" si="17"/>
        <v>0</v>
      </c>
      <c r="X22" s="234"/>
    </row>
    <row r="23" spans="1:24" ht="14.25" customHeight="1" x14ac:dyDescent="0.25">
      <c r="A23" s="5"/>
      <c r="B23" s="212"/>
      <c r="C23" s="213"/>
      <c r="D23" s="214"/>
      <c r="E23" s="215"/>
      <c r="F23" s="216"/>
      <c r="G23" s="214"/>
      <c r="H23" s="217"/>
      <c r="I23" s="227">
        <f t="shared" ca="1" si="5"/>
        <v>0</v>
      </c>
      <c r="J23" s="228" t="str">
        <f t="shared" si="6"/>
        <v>INSERIR DATAS E TOT PARC</v>
      </c>
      <c r="K23" s="229" t="str">
        <f t="shared" si="3"/>
        <v>---</v>
      </c>
      <c r="L23" s="230">
        <f t="shared" si="4"/>
        <v>0</v>
      </c>
      <c r="M23" s="231">
        <f t="shared" si="7"/>
        <v>0</v>
      </c>
      <c r="N23" s="232">
        <f t="shared" si="8"/>
        <v>0</v>
      </c>
      <c r="O23" s="232">
        <f t="shared" si="9"/>
        <v>0</v>
      </c>
      <c r="P23" s="232">
        <f t="shared" si="10"/>
        <v>0</v>
      </c>
      <c r="Q23" s="232">
        <f t="shared" si="11"/>
        <v>0</v>
      </c>
      <c r="R23" s="232">
        <f t="shared" si="12"/>
        <v>0</v>
      </c>
      <c r="S23" s="232">
        <f t="shared" si="13"/>
        <v>0</v>
      </c>
      <c r="T23" s="232">
        <f t="shared" si="14"/>
        <v>0</v>
      </c>
      <c r="U23" s="232">
        <f t="shared" si="15"/>
        <v>0</v>
      </c>
      <c r="V23" s="232">
        <f t="shared" si="16"/>
        <v>0</v>
      </c>
      <c r="W23" s="233">
        <f t="shared" si="17"/>
        <v>0</v>
      </c>
      <c r="X23" s="234"/>
    </row>
    <row r="24" spans="1:24" ht="14.25" customHeight="1" x14ac:dyDescent="0.25">
      <c r="A24" s="104"/>
      <c r="B24" s="212"/>
      <c r="C24" s="213"/>
      <c r="D24" s="214"/>
      <c r="E24" s="215"/>
      <c r="F24" s="216"/>
      <c r="G24" s="214"/>
      <c r="H24" s="217"/>
      <c r="I24" s="227">
        <f t="shared" ca="1" si="5"/>
        <v>0</v>
      </c>
      <c r="J24" s="228" t="str">
        <f t="shared" si="6"/>
        <v>INSERIR DATAS E TOT PARC</v>
      </c>
      <c r="K24" s="229" t="str">
        <f t="shared" si="3"/>
        <v>---</v>
      </c>
      <c r="L24" s="230">
        <f t="shared" si="4"/>
        <v>0</v>
      </c>
      <c r="M24" s="231">
        <f t="shared" si="7"/>
        <v>0</v>
      </c>
      <c r="N24" s="232">
        <f t="shared" si="8"/>
        <v>0</v>
      </c>
      <c r="O24" s="232">
        <f t="shared" si="9"/>
        <v>0</v>
      </c>
      <c r="P24" s="232">
        <f t="shared" si="10"/>
        <v>0</v>
      </c>
      <c r="Q24" s="232">
        <f t="shared" si="11"/>
        <v>0</v>
      </c>
      <c r="R24" s="232">
        <f t="shared" si="12"/>
        <v>0</v>
      </c>
      <c r="S24" s="232">
        <f t="shared" si="13"/>
        <v>0</v>
      </c>
      <c r="T24" s="232">
        <f t="shared" si="14"/>
        <v>0</v>
      </c>
      <c r="U24" s="232">
        <f t="shared" si="15"/>
        <v>0</v>
      </c>
      <c r="V24" s="232">
        <f t="shared" si="16"/>
        <v>0</v>
      </c>
      <c r="W24" s="233">
        <f t="shared" si="17"/>
        <v>0</v>
      </c>
      <c r="X24" s="234"/>
    </row>
    <row r="25" spans="1:24" ht="14.25" customHeight="1" x14ac:dyDescent="0.25">
      <c r="A25" s="104"/>
      <c r="B25" s="212"/>
      <c r="C25" s="213"/>
      <c r="D25" s="214"/>
      <c r="E25" s="215"/>
      <c r="F25" s="216"/>
      <c r="G25" s="214"/>
      <c r="H25" s="217"/>
      <c r="I25" s="227">
        <f t="shared" ca="1" si="5"/>
        <v>0</v>
      </c>
      <c r="J25" s="228" t="str">
        <f t="shared" si="6"/>
        <v>INSERIR DATAS E TOT PARC</v>
      </c>
      <c r="K25" s="229" t="str">
        <f t="shared" si="3"/>
        <v>---</v>
      </c>
      <c r="L25" s="230">
        <f t="shared" si="4"/>
        <v>0</v>
      </c>
      <c r="M25" s="231">
        <f t="shared" si="7"/>
        <v>0</v>
      </c>
      <c r="N25" s="232">
        <f t="shared" si="8"/>
        <v>0</v>
      </c>
      <c r="O25" s="232">
        <f t="shared" si="9"/>
        <v>0</v>
      </c>
      <c r="P25" s="232">
        <f t="shared" si="10"/>
        <v>0</v>
      </c>
      <c r="Q25" s="232">
        <f t="shared" si="11"/>
        <v>0</v>
      </c>
      <c r="R25" s="232">
        <f t="shared" si="12"/>
        <v>0</v>
      </c>
      <c r="S25" s="232">
        <f t="shared" si="13"/>
        <v>0</v>
      </c>
      <c r="T25" s="232">
        <f t="shared" si="14"/>
        <v>0</v>
      </c>
      <c r="U25" s="232">
        <f t="shared" si="15"/>
        <v>0</v>
      </c>
      <c r="V25" s="232">
        <f t="shared" si="16"/>
        <v>0</v>
      </c>
      <c r="W25" s="233">
        <f t="shared" si="17"/>
        <v>0</v>
      </c>
      <c r="X25" s="234"/>
    </row>
    <row r="26" spans="1:24" ht="14.25" customHeight="1" x14ac:dyDescent="0.25">
      <c r="A26" s="104"/>
      <c r="B26" s="212"/>
      <c r="C26" s="213"/>
      <c r="D26" s="214"/>
      <c r="E26" s="215"/>
      <c r="F26" s="216"/>
      <c r="G26" s="214"/>
      <c r="H26" s="217"/>
      <c r="I26" s="227">
        <f t="shared" ca="1" si="5"/>
        <v>0</v>
      </c>
      <c r="J26" s="228" t="str">
        <f t="shared" si="6"/>
        <v>INSERIR DATAS E TOT PARC</v>
      </c>
      <c r="K26" s="229" t="str">
        <f t="shared" si="3"/>
        <v>---</v>
      </c>
      <c r="L26" s="230">
        <f t="shared" si="4"/>
        <v>0</v>
      </c>
      <c r="M26" s="231">
        <f t="shared" si="7"/>
        <v>0</v>
      </c>
      <c r="N26" s="232">
        <f t="shared" si="8"/>
        <v>0</v>
      </c>
      <c r="O26" s="232">
        <f t="shared" si="9"/>
        <v>0</v>
      </c>
      <c r="P26" s="232">
        <f t="shared" si="10"/>
        <v>0</v>
      </c>
      <c r="Q26" s="232">
        <f t="shared" si="11"/>
        <v>0</v>
      </c>
      <c r="R26" s="232">
        <f t="shared" si="12"/>
        <v>0</v>
      </c>
      <c r="S26" s="232">
        <f t="shared" si="13"/>
        <v>0</v>
      </c>
      <c r="T26" s="232">
        <f t="shared" si="14"/>
        <v>0</v>
      </c>
      <c r="U26" s="232">
        <f t="shared" si="15"/>
        <v>0</v>
      </c>
      <c r="V26" s="232">
        <f t="shared" si="16"/>
        <v>0</v>
      </c>
      <c r="W26" s="233">
        <f t="shared" si="17"/>
        <v>0</v>
      </c>
      <c r="X26" s="234"/>
    </row>
    <row r="27" spans="1:24" ht="14.25" customHeight="1" x14ac:dyDescent="0.25">
      <c r="A27" s="76"/>
      <c r="B27" s="212"/>
      <c r="C27" s="213"/>
      <c r="D27" s="214"/>
      <c r="E27" s="215"/>
      <c r="F27" s="216"/>
      <c r="G27" s="214"/>
      <c r="H27" s="217"/>
      <c r="I27" s="227">
        <f t="shared" ca="1" si="5"/>
        <v>0</v>
      </c>
      <c r="J27" s="228" t="str">
        <f t="shared" si="6"/>
        <v>INSERIR DATAS E TOT PARC</v>
      </c>
      <c r="K27" s="229" t="str">
        <f t="shared" si="3"/>
        <v>---</v>
      </c>
      <c r="L27" s="230">
        <f t="shared" si="4"/>
        <v>0</v>
      </c>
      <c r="M27" s="231">
        <f t="shared" si="7"/>
        <v>0</v>
      </c>
      <c r="N27" s="232">
        <f t="shared" si="8"/>
        <v>0</v>
      </c>
      <c r="O27" s="232">
        <f t="shared" si="9"/>
        <v>0</v>
      </c>
      <c r="P27" s="232">
        <f t="shared" si="10"/>
        <v>0</v>
      </c>
      <c r="Q27" s="232">
        <f t="shared" si="11"/>
        <v>0</v>
      </c>
      <c r="R27" s="232">
        <f t="shared" si="12"/>
        <v>0</v>
      </c>
      <c r="S27" s="232">
        <f t="shared" si="13"/>
        <v>0</v>
      </c>
      <c r="T27" s="232">
        <f t="shared" si="14"/>
        <v>0</v>
      </c>
      <c r="U27" s="232">
        <f t="shared" si="15"/>
        <v>0</v>
      </c>
      <c r="V27" s="232">
        <f t="shared" si="16"/>
        <v>0</v>
      </c>
      <c r="W27" s="233">
        <f t="shared" si="17"/>
        <v>0</v>
      </c>
      <c r="X27" s="234"/>
    </row>
    <row r="28" spans="1:24" ht="14.25" customHeight="1" x14ac:dyDescent="0.25">
      <c r="A28" s="15"/>
      <c r="B28" s="212"/>
      <c r="C28" s="213"/>
      <c r="D28" s="214"/>
      <c r="E28" s="215"/>
      <c r="F28" s="216"/>
      <c r="G28" s="214"/>
      <c r="H28" s="217"/>
      <c r="I28" s="227">
        <f t="shared" ca="1" si="5"/>
        <v>0</v>
      </c>
      <c r="J28" s="228" t="str">
        <f t="shared" si="6"/>
        <v>INSERIR DATAS E TOT PARC</v>
      </c>
      <c r="K28" s="229" t="str">
        <f t="shared" si="3"/>
        <v>---</v>
      </c>
      <c r="L28" s="230">
        <f t="shared" si="4"/>
        <v>0</v>
      </c>
      <c r="M28" s="231">
        <f t="shared" si="7"/>
        <v>0</v>
      </c>
      <c r="N28" s="232">
        <f t="shared" si="8"/>
        <v>0</v>
      </c>
      <c r="O28" s="232">
        <f t="shared" si="9"/>
        <v>0</v>
      </c>
      <c r="P28" s="232">
        <f t="shared" si="10"/>
        <v>0</v>
      </c>
      <c r="Q28" s="232">
        <f t="shared" si="11"/>
        <v>0</v>
      </c>
      <c r="R28" s="232">
        <f t="shared" si="12"/>
        <v>0</v>
      </c>
      <c r="S28" s="232">
        <f t="shared" si="13"/>
        <v>0</v>
      </c>
      <c r="T28" s="232">
        <f t="shared" si="14"/>
        <v>0</v>
      </c>
      <c r="U28" s="232">
        <f t="shared" si="15"/>
        <v>0</v>
      </c>
      <c r="V28" s="232">
        <f t="shared" si="16"/>
        <v>0</v>
      </c>
      <c r="W28" s="233">
        <f t="shared" si="17"/>
        <v>0</v>
      </c>
      <c r="X28" s="234"/>
    </row>
    <row r="29" spans="1:24" ht="14.25" customHeight="1" x14ac:dyDescent="0.25">
      <c r="A29" s="104"/>
      <c r="B29" s="212"/>
      <c r="C29" s="213"/>
      <c r="D29" s="214"/>
      <c r="E29" s="215"/>
      <c r="F29" s="216"/>
      <c r="G29" s="214"/>
      <c r="H29" s="217"/>
      <c r="I29" s="227">
        <f t="shared" ca="1" si="5"/>
        <v>0</v>
      </c>
      <c r="J29" s="228" t="str">
        <f t="shared" si="6"/>
        <v>INSERIR DATAS E TOT PARC</v>
      </c>
      <c r="K29" s="229" t="str">
        <f t="shared" si="3"/>
        <v>---</v>
      </c>
      <c r="L29" s="230">
        <f t="shared" si="4"/>
        <v>0</v>
      </c>
      <c r="M29" s="231">
        <f t="shared" si="7"/>
        <v>0</v>
      </c>
      <c r="N29" s="232">
        <f t="shared" si="8"/>
        <v>0</v>
      </c>
      <c r="O29" s="232">
        <f t="shared" si="9"/>
        <v>0</v>
      </c>
      <c r="P29" s="232">
        <f t="shared" si="10"/>
        <v>0</v>
      </c>
      <c r="Q29" s="232">
        <f t="shared" si="11"/>
        <v>0</v>
      </c>
      <c r="R29" s="232">
        <f t="shared" si="12"/>
        <v>0</v>
      </c>
      <c r="S29" s="232">
        <f t="shared" si="13"/>
        <v>0</v>
      </c>
      <c r="T29" s="232">
        <f t="shared" si="14"/>
        <v>0</v>
      </c>
      <c r="U29" s="232">
        <f t="shared" si="15"/>
        <v>0</v>
      </c>
      <c r="V29" s="232">
        <f t="shared" si="16"/>
        <v>0</v>
      </c>
      <c r="W29" s="233">
        <f t="shared" si="17"/>
        <v>0</v>
      </c>
      <c r="X29" s="234"/>
    </row>
    <row r="30" spans="1:24" ht="14.25" customHeight="1" x14ac:dyDescent="0.25">
      <c r="A30" s="104"/>
      <c r="B30" s="212"/>
      <c r="C30" s="213"/>
      <c r="D30" s="214"/>
      <c r="E30" s="215"/>
      <c r="F30" s="216"/>
      <c r="G30" s="214"/>
      <c r="H30" s="217"/>
      <c r="I30" s="227">
        <f t="shared" ca="1" si="5"/>
        <v>0</v>
      </c>
      <c r="J30" s="228" t="str">
        <f t="shared" si="6"/>
        <v>INSERIR DATAS E TOT PARC</v>
      </c>
      <c r="K30" s="229" t="str">
        <f t="shared" si="3"/>
        <v>---</v>
      </c>
      <c r="L30" s="230">
        <f t="shared" si="4"/>
        <v>0</v>
      </c>
      <c r="M30" s="231">
        <f t="shared" si="7"/>
        <v>0</v>
      </c>
      <c r="N30" s="232">
        <f t="shared" si="8"/>
        <v>0</v>
      </c>
      <c r="O30" s="232">
        <f t="shared" si="9"/>
        <v>0</v>
      </c>
      <c r="P30" s="232">
        <f t="shared" si="10"/>
        <v>0</v>
      </c>
      <c r="Q30" s="232">
        <f t="shared" si="11"/>
        <v>0</v>
      </c>
      <c r="R30" s="232">
        <f t="shared" si="12"/>
        <v>0</v>
      </c>
      <c r="S30" s="232">
        <f t="shared" si="13"/>
        <v>0</v>
      </c>
      <c r="T30" s="232">
        <f t="shared" si="14"/>
        <v>0</v>
      </c>
      <c r="U30" s="232">
        <f t="shared" si="15"/>
        <v>0</v>
      </c>
      <c r="V30" s="232">
        <f t="shared" si="16"/>
        <v>0</v>
      </c>
      <c r="W30" s="233">
        <f t="shared" si="17"/>
        <v>0</v>
      </c>
      <c r="X30" s="234"/>
    </row>
    <row r="31" spans="1:24" ht="14.25" customHeight="1" x14ac:dyDescent="0.25">
      <c r="A31" s="76"/>
      <c r="B31" s="212"/>
      <c r="C31" s="213"/>
      <c r="D31" s="214"/>
      <c r="E31" s="215"/>
      <c r="F31" s="216"/>
      <c r="G31" s="214"/>
      <c r="H31" s="217"/>
      <c r="I31" s="227">
        <f t="shared" ca="1" si="5"/>
        <v>0</v>
      </c>
      <c r="J31" s="228" t="str">
        <f t="shared" si="6"/>
        <v>INSERIR DATAS E TOT PARC</v>
      </c>
      <c r="K31" s="229" t="str">
        <f t="shared" si="3"/>
        <v>---</v>
      </c>
      <c r="L31" s="230">
        <f t="shared" si="4"/>
        <v>0</v>
      </c>
      <c r="M31" s="231">
        <f t="shared" si="7"/>
        <v>0</v>
      </c>
      <c r="N31" s="232">
        <f t="shared" si="8"/>
        <v>0</v>
      </c>
      <c r="O31" s="232">
        <f t="shared" si="9"/>
        <v>0</v>
      </c>
      <c r="P31" s="232">
        <f t="shared" si="10"/>
        <v>0</v>
      </c>
      <c r="Q31" s="232">
        <f t="shared" si="11"/>
        <v>0</v>
      </c>
      <c r="R31" s="232">
        <f t="shared" si="12"/>
        <v>0</v>
      </c>
      <c r="S31" s="232">
        <f t="shared" si="13"/>
        <v>0</v>
      </c>
      <c r="T31" s="232">
        <f t="shared" si="14"/>
        <v>0</v>
      </c>
      <c r="U31" s="232">
        <f t="shared" si="15"/>
        <v>0</v>
      </c>
      <c r="V31" s="232">
        <f t="shared" si="16"/>
        <v>0</v>
      </c>
      <c r="W31" s="233">
        <f t="shared" si="17"/>
        <v>0</v>
      </c>
      <c r="X31" s="234"/>
    </row>
    <row r="32" spans="1:24" ht="14.25" customHeight="1" x14ac:dyDescent="0.25">
      <c r="A32" s="104"/>
      <c r="B32" s="212"/>
      <c r="C32" s="213"/>
      <c r="D32" s="214"/>
      <c r="E32" s="215"/>
      <c r="F32" s="216"/>
      <c r="G32" s="214"/>
      <c r="H32" s="217"/>
      <c r="I32" s="227">
        <f t="shared" ca="1" si="5"/>
        <v>0</v>
      </c>
      <c r="J32" s="228" t="str">
        <f t="shared" si="6"/>
        <v>INSERIR DATAS E TOT PARC</v>
      </c>
      <c r="K32" s="229" t="str">
        <f t="shared" si="3"/>
        <v>---</v>
      </c>
      <c r="L32" s="230">
        <f t="shared" si="4"/>
        <v>0</v>
      </c>
      <c r="M32" s="231">
        <f t="shared" si="7"/>
        <v>0</v>
      </c>
      <c r="N32" s="232">
        <f t="shared" si="8"/>
        <v>0</v>
      </c>
      <c r="O32" s="232">
        <f t="shared" si="9"/>
        <v>0</v>
      </c>
      <c r="P32" s="232">
        <f t="shared" si="10"/>
        <v>0</v>
      </c>
      <c r="Q32" s="232">
        <f t="shared" si="11"/>
        <v>0</v>
      </c>
      <c r="R32" s="232">
        <f t="shared" si="12"/>
        <v>0</v>
      </c>
      <c r="S32" s="232">
        <f t="shared" si="13"/>
        <v>0</v>
      </c>
      <c r="T32" s="232">
        <f t="shared" si="14"/>
        <v>0</v>
      </c>
      <c r="U32" s="232">
        <f t="shared" si="15"/>
        <v>0</v>
      </c>
      <c r="V32" s="232">
        <f t="shared" si="16"/>
        <v>0</v>
      </c>
      <c r="W32" s="233">
        <f t="shared" si="17"/>
        <v>0</v>
      </c>
      <c r="X32" s="234"/>
    </row>
    <row r="33" spans="1:25" ht="14.25" customHeight="1" x14ac:dyDescent="0.25">
      <c r="A33" s="76"/>
      <c r="B33" s="212"/>
      <c r="C33" s="213"/>
      <c r="D33" s="214"/>
      <c r="E33" s="215"/>
      <c r="F33" s="216"/>
      <c r="G33" s="214"/>
      <c r="H33" s="217"/>
      <c r="I33" s="227">
        <f t="shared" ca="1" si="5"/>
        <v>0</v>
      </c>
      <c r="J33" s="228" t="str">
        <f t="shared" si="6"/>
        <v>INSERIR DATAS E TOT PARC</v>
      </c>
      <c r="K33" s="229" t="str">
        <f t="shared" si="3"/>
        <v>---</v>
      </c>
      <c r="L33" s="230">
        <f t="shared" si="4"/>
        <v>0</v>
      </c>
      <c r="M33" s="231">
        <f t="shared" si="7"/>
        <v>0</v>
      </c>
      <c r="N33" s="232">
        <f t="shared" si="8"/>
        <v>0</v>
      </c>
      <c r="O33" s="232">
        <f t="shared" si="9"/>
        <v>0</v>
      </c>
      <c r="P33" s="232">
        <f t="shared" si="10"/>
        <v>0</v>
      </c>
      <c r="Q33" s="232">
        <f t="shared" si="11"/>
        <v>0</v>
      </c>
      <c r="R33" s="232">
        <f t="shared" si="12"/>
        <v>0</v>
      </c>
      <c r="S33" s="232">
        <f t="shared" si="13"/>
        <v>0</v>
      </c>
      <c r="T33" s="232">
        <f t="shared" si="14"/>
        <v>0</v>
      </c>
      <c r="U33" s="232">
        <f t="shared" si="15"/>
        <v>0</v>
      </c>
      <c r="V33" s="232">
        <f t="shared" si="16"/>
        <v>0</v>
      </c>
      <c r="W33" s="233">
        <f t="shared" si="17"/>
        <v>0</v>
      </c>
      <c r="X33" s="234"/>
    </row>
    <row r="34" spans="1:25" ht="14.25" customHeight="1" x14ac:dyDescent="0.25">
      <c r="A34" s="15"/>
      <c r="B34" s="212"/>
      <c r="C34" s="213"/>
      <c r="D34" s="214"/>
      <c r="E34" s="215"/>
      <c r="F34" s="216"/>
      <c r="G34" s="214"/>
      <c r="H34" s="217"/>
      <c r="I34" s="227">
        <f t="shared" ca="1" si="5"/>
        <v>0</v>
      </c>
      <c r="J34" s="228" t="str">
        <f t="shared" si="6"/>
        <v>INSERIR DATAS E TOT PARC</v>
      </c>
      <c r="K34" s="229" t="str">
        <f t="shared" si="3"/>
        <v>---</v>
      </c>
      <c r="L34" s="230">
        <f t="shared" si="4"/>
        <v>0</v>
      </c>
      <c r="M34" s="231">
        <f t="shared" si="7"/>
        <v>0</v>
      </c>
      <c r="N34" s="232">
        <f t="shared" si="8"/>
        <v>0</v>
      </c>
      <c r="O34" s="232">
        <f t="shared" si="9"/>
        <v>0</v>
      </c>
      <c r="P34" s="232">
        <f t="shared" si="10"/>
        <v>0</v>
      </c>
      <c r="Q34" s="232">
        <f t="shared" si="11"/>
        <v>0</v>
      </c>
      <c r="R34" s="232">
        <f t="shared" si="12"/>
        <v>0</v>
      </c>
      <c r="S34" s="232">
        <f t="shared" si="13"/>
        <v>0</v>
      </c>
      <c r="T34" s="232">
        <f t="shared" si="14"/>
        <v>0</v>
      </c>
      <c r="U34" s="232">
        <f t="shared" si="15"/>
        <v>0</v>
      </c>
      <c r="V34" s="232">
        <f t="shared" si="16"/>
        <v>0</v>
      </c>
      <c r="W34" s="233">
        <f t="shared" si="17"/>
        <v>0</v>
      </c>
      <c r="X34" s="234"/>
    </row>
    <row r="35" spans="1:25" ht="14.25" customHeight="1" x14ac:dyDescent="0.25">
      <c r="A35" s="104"/>
      <c r="B35" s="212"/>
      <c r="C35" s="213"/>
      <c r="D35" s="214"/>
      <c r="E35" s="215"/>
      <c r="F35" s="216"/>
      <c r="G35" s="214"/>
      <c r="H35" s="217"/>
      <c r="I35" s="227">
        <f t="shared" ca="1" si="5"/>
        <v>0</v>
      </c>
      <c r="J35" s="228" t="str">
        <f t="shared" si="6"/>
        <v>INSERIR DATAS E TOT PARC</v>
      </c>
      <c r="K35" s="229" t="str">
        <f t="shared" si="3"/>
        <v>---</v>
      </c>
      <c r="L35" s="230">
        <f t="shared" si="4"/>
        <v>0</v>
      </c>
      <c r="M35" s="231">
        <f t="shared" si="7"/>
        <v>0</v>
      </c>
      <c r="N35" s="232">
        <f t="shared" si="8"/>
        <v>0</v>
      </c>
      <c r="O35" s="232">
        <f t="shared" si="9"/>
        <v>0</v>
      </c>
      <c r="P35" s="232">
        <f t="shared" si="10"/>
        <v>0</v>
      </c>
      <c r="Q35" s="232">
        <f t="shared" si="11"/>
        <v>0</v>
      </c>
      <c r="R35" s="232">
        <f t="shared" si="12"/>
        <v>0</v>
      </c>
      <c r="S35" s="232">
        <f t="shared" si="13"/>
        <v>0</v>
      </c>
      <c r="T35" s="232">
        <f t="shared" si="14"/>
        <v>0</v>
      </c>
      <c r="U35" s="232">
        <f t="shared" si="15"/>
        <v>0</v>
      </c>
      <c r="V35" s="232">
        <f t="shared" si="16"/>
        <v>0</v>
      </c>
      <c r="W35" s="233">
        <f t="shared" si="17"/>
        <v>0</v>
      </c>
      <c r="X35" s="234"/>
    </row>
    <row r="36" spans="1:25" ht="14.25" customHeight="1" x14ac:dyDescent="0.25">
      <c r="A36" s="104"/>
      <c r="B36" s="212"/>
      <c r="C36" s="213"/>
      <c r="D36" s="214"/>
      <c r="E36" s="215"/>
      <c r="F36" s="216"/>
      <c r="G36" s="214"/>
      <c r="H36" s="217"/>
      <c r="I36" s="227">
        <f t="shared" ca="1" si="5"/>
        <v>0</v>
      </c>
      <c r="J36" s="228" t="str">
        <f t="shared" si="6"/>
        <v>INSERIR DATAS E TOT PARC</v>
      </c>
      <c r="K36" s="229" t="str">
        <f t="shared" si="3"/>
        <v>---</v>
      </c>
      <c r="L36" s="230">
        <f t="shared" si="4"/>
        <v>0</v>
      </c>
      <c r="M36" s="231">
        <f t="shared" si="7"/>
        <v>0</v>
      </c>
      <c r="N36" s="232">
        <f t="shared" si="8"/>
        <v>0</v>
      </c>
      <c r="O36" s="232">
        <f t="shared" si="9"/>
        <v>0</v>
      </c>
      <c r="P36" s="232">
        <f t="shared" si="10"/>
        <v>0</v>
      </c>
      <c r="Q36" s="232">
        <f t="shared" si="11"/>
        <v>0</v>
      </c>
      <c r="R36" s="232">
        <f t="shared" si="12"/>
        <v>0</v>
      </c>
      <c r="S36" s="232">
        <f t="shared" si="13"/>
        <v>0</v>
      </c>
      <c r="T36" s="232">
        <f t="shared" si="14"/>
        <v>0</v>
      </c>
      <c r="U36" s="232">
        <f t="shared" si="15"/>
        <v>0</v>
      </c>
      <c r="V36" s="232">
        <f t="shared" si="16"/>
        <v>0</v>
      </c>
      <c r="W36" s="233">
        <f t="shared" si="17"/>
        <v>0</v>
      </c>
      <c r="X36" s="234"/>
    </row>
    <row r="37" spans="1:25" ht="14.25" customHeight="1" x14ac:dyDescent="0.25">
      <c r="A37" s="5"/>
      <c r="B37" s="212"/>
      <c r="C37" s="213"/>
      <c r="D37" s="214"/>
      <c r="E37" s="215"/>
      <c r="F37" s="216"/>
      <c r="G37" s="214"/>
      <c r="H37" s="217"/>
      <c r="I37" s="227">
        <f t="shared" ca="1" si="5"/>
        <v>0</v>
      </c>
      <c r="J37" s="228" t="str">
        <f t="shared" si="6"/>
        <v>INSERIR DATAS E TOT PARC</v>
      </c>
      <c r="K37" s="229" t="str">
        <f t="shared" si="3"/>
        <v>---</v>
      </c>
      <c r="L37" s="230">
        <f t="shared" si="4"/>
        <v>0</v>
      </c>
      <c r="M37" s="231">
        <f t="shared" si="7"/>
        <v>0</v>
      </c>
      <c r="N37" s="232">
        <f t="shared" si="8"/>
        <v>0</v>
      </c>
      <c r="O37" s="232">
        <f t="shared" si="9"/>
        <v>0</v>
      </c>
      <c r="P37" s="232">
        <f t="shared" si="10"/>
        <v>0</v>
      </c>
      <c r="Q37" s="232">
        <f t="shared" si="11"/>
        <v>0</v>
      </c>
      <c r="R37" s="232">
        <f t="shared" si="12"/>
        <v>0</v>
      </c>
      <c r="S37" s="232">
        <f t="shared" si="13"/>
        <v>0</v>
      </c>
      <c r="T37" s="232">
        <f t="shared" si="14"/>
        <v>0</v>
      </c>
      <c r="U37" s="232">
        <f t="shared" si="15"/>
        <v>0</v>
      </c>
      <c r="V37" s="232">
        <f t="shared" si="16"/>
        <v>0</v>
      </c>
      <c r="W37" s="233">
        <f t="shared" si="17"/>
        <v>0</v>
      </c>
      <c r="X37" s="234"/>
    </row>
    <row r="38" spans="1:25" ht="14.25" customHeight="1" x14ac:dyDescent="0.25">
      <c r="A38" s="5"/>
      <c r="B38" s="212"/>
      <c r="C38" s="213"/>
      <c r="D38" s="214"/>
      <c r="E38" s="215"/>
      <c r="F38" s="216"/>
      <c r="G38" s="214"/>
      <c r="H38" s="217"/>
      <c r="I38" s="227">
        <f t="shared" ca="1" si="5"/>
        <v>0</v>
      </c>
      <c r="J38" s="228" t="str">
        <f t="shared" si="6"/>
        <v>INSERIR DATAS E TOT PARC</v>
      </c>
      <c r="K38" s="229" t="str">
        <f t="shared" si="3"/>
        <v>---</v>
      </c>
      <c r="L38" s="230">
        <f t="shared" si="4"/>
        <v>0</v>
      </c>
      <c r="M38" s="231">
        <f t="shared" ref="M38:M44" si="18">IF(F38="anual",IF(MONTH(B38)=$M$3,H38,0),IF(F38="mensal",I38,IF(K38="---",0,IF($M$2&lt;YEAR(K38),H38,IF($M$2=YEAR(K38),IF(OR($M$3&lt;MONTH(K38),$M$3=MONTH(K38)),H38,0),0)))))</f>
        <v>0</v>
      </c>
      <c r="N38" s="232">
        <f t="shared" ref="N38:N44" si="19">IF(F38="anual",IF(MONTH(B38)=$N$3,H38,0),IF(F38="mensal",I38,IF(K38="---",0,IF($N$2&lt;YEAR(K38),H38,IF($N$2=YEAR(K38),IF(OR($N$3&lt;MONTH(K38),$N$3=MONTH(K38)),H38,0),0)))))</f>
        <v>0</v>
      </c>
      <c r="O38" s="232">
        <f t="shared" ref="O38:O44" si="20">IF(F38="anual",IF(MONTH(B38)=$O$3,H38,0),IF(F38="mensal",I38,IF(K38="---",0,IF($O$2&lt;YEAR(K38),H38,IF($O$2=YEAR(K38),IF(OR($O$3&lt;MONTH(K38),$O$3=MONTH(K38)),H38,0),0)))))</f>
        <v>0</v>
      </c>
      <c r="P38" s="232">
        <f t="shared" ref="P38:P44" si="21">IF(F38="anual",IF(MONTH(B38)=$P$3,H38,0),IF(F38="mensal",I38,IF(K38="---",0,IF($P$2&lt;YEAR(K38),H38,IF($P$2=YEAR(K38),IF(OR($P$3&lt;MONTH(K38),$P$3=MONTH(K38)),H38,0),0)))))</f>
        <v>0</v>
      </c>
      <c r="Q38" s="232">
        <f t="shared" ref="Q38:Q44" si="22">IF(F38="anual",IF(MONTH(B38)=$Q$3,H38,0),IF(F38="mensal",I38,IF(K38="---",0,IF($Q$2&lt;YEAR(K38),H38,IF($Q$2=YEAR(K38),IF(OR($Q$3&lt;MONTH(K38),$Q$3=MONTH(K38)),H38,0),0)))))</f>
        <v>0</v>
      </c>
      <c r="R38" s="232">
        <f t="shared" ref="R38:R44" si="23">IF(F38="anual",IF(MONTH(B38)=$R$3,H38,0),IF(F38="mensal",I38,IF(K38="---",0,IF($R$2&lt;YEAR(K38),H38,IF($R$2=YEAR(K38),IF(OR($R$3&lt;MONTH(K38),$R$3=MONTH(K38)),H38,0),0)))))</f>
        <v>0</v>
      </c>
      <c r="S38" s="232">
        <f t="shared" ref="S38:S44" si="24">IF(F38="anual",IF(MONTH(B38)=$S$3,H38,0),IF(F38="mensal",I38,IF(K38="---",0,IF($S$2&lt;YEAR(K38),H38,IF($S$2=YEAR(K38),IF(OR($S$3&lt;MONTH(K38),$S$3=MONTH(K38)),H38,0),0)))))</f>
        <v>0</v>
      </c>
      <c r="T38" s="232">
        <f t="shared" ref="T38:T44" si="25">IF(F38="anual",IF(MONTH(B38)=$T$3,H38,0),IF(F38="mensal",I38,IF(K38="---",0,IF($T$2&lt;YEAR(K38),H38,IF($T$2=YEAR(K38),IF(OR($T$3&lt;MONTH(K38),$T$3=MONTH(K38)),H38,0),0)))))</f>
        <v>0</v>
      </c>
      <c r="U38" s="232">
        <f t="shared" ref="U38:U44" si="26">IF(F38="anual",IF(MONTH(B38)=$U$3,H38,0),IF(F38="mensal",I38,IF(K38="---",0,IF($U$2&lt;YEAR(K38),H38,IF($U$2=YEAR(K38),IF(OR($U$3&lt;MONTH(K38),$U$3=MONTH(K38)),H38,0),0)))))</f>
        <v>0</v>
      </c>
      <c r="V38" s="232">
        <f t="shared" ref="V38:V44" si="27">IF(F38="anual",IF(MONTH(B38)=$V$3,H38,0),IF(F38="mensal",I38,IF(K38="---",0,IF($V$2&lt;YEAR(K38),H38,IF($V$2=YEAR(K38),IF(OR($V$3&lt;MONTH(K38),$V$3=MONTH(K38)),H38,0),0)))))</f>
        <v>0</v>
      </c>
      <c r="W38" s="233">
        <f t="shared" ref="W38:W44" si="28">IF(F38="anual",IF(MONTH(B38)=$W$3,H38,0),IF(F38="mensal",I38,IF(K38="---",0,IF($W$2&lt;YEAR(K38),H38,IF($W$2=YEAR(K38),IF(OR($W$3&lt;MONTH(K38),$W$3=MONTH(K38)),H38,0),0)))))</f>
        <v>0</v>
      </c>
      <c r="X38" s="235"/>
    </row>
    <row r="39" spans="1:25" ht="14.25" customHeight="1" x14ac:dyDescent="0.25">
      <c r="A39" s="75"/>
      <c r="B39" s="212"/>
      <c r="C39" s="213"/>
      <c r="D39" s="214"/>
      <c r="E39" s="215"/>
      <c r="F39" s="216"/>
      <c r="G39" s="214"/>
      <c r="H39" s="217"/>
      <c r="I39" s="227">
        <f t="shared" ca="1" si="5"/>
        <v>0</v>
      </c>
      <c r="J39" s="228" t="str">
        <f t="shared" si="6"/>
        <v>INSERIR DATAS E TOT PARC</v>
      </c>
      <c r="K39" s="229" t="str">
        <f t="shared" si="3"/>
        <v>---</v>
      </c>
      <c r="L39" s="230">
        <f t="shared" si="4"/>
        <v>0</v>
      </c>
      <c r="M39" s="231">
        <f t="shared" si="18"/>
        <v>0</v>
      </c>
      <c r="N39" s="232">
        <f t="shared" si="19"/>
        <v>0</v>
      </c>
      <c r="O39" s="232">
        <f t="shared" si="20"/>
        <v>0</v>
      </c>
      <c r="P39" s="232">
        <f t="shared" si="21"/>
        <v>0</v>
      </c>
      <c r="Q39" s="232">
        <f t="shared" si="22"/>
        <v>0</v>
      </c>
      <c r="R39" s="232">
        <f t="shared" si="23"/>
        <v>0</v>
      </c>
      <c r="S39" s="232">
        <f t="shared" si="24"/>
        <v>0</v>
      </c>
      <c r="T39" s="232">
        <f t="shared" si="25"/>
        <v>0</v>
      </c>
      <c r="U39" s="232">
        <f t="shared" si="26"/>
        <v>0</v>
      </c>
      <c r="V39" s="232">
        <f t="shared" si="27"/>
        <v>0</v>
      </c>
      <c r="W39" s="233">
        <f t="shared" si="28"/>
        <v>0</v>
      </c>
      <c r="X39" s="235"/>
    </row>
    <row r="40" spans="1:25" ht="14.25" customHeight="1" x14ac:dyDescent="0.25">
      <c r="A40" s="75"/>
      <c r="B40" s="212"/>
      <c r="C40" s="213"/>
      <c r="D40" s="214"/>
      <c r="E40" s="215"/>
      <c r="F40" s="216"/>
      <c r="G40" s="214"/>
      <c r="H40" s="217"/>
      <c r="I40" s="227">
        <f t="shared" ca="1" si="5"/>
        <v>0</v>
      </c>
      <c r="J40" s="228" t="str">
        <f t="shared" si="6"/>
        <v>INSERIR DATAS E TOT PARC</v>
      </c>
      <c r="K40" s="229" t="str">
        <f t="shared" si="3"/>
        <v>---</v>
      </c>
      <c r="L40" s="230">
        <f t="shared" si="4"/>
        <v>0</v>
      </c>
      <c r="M40" s="231">
        <f t="shared" si="18"/>
        <v>0</v>
      </c>
      <c r="N40" s="232">
        <f t="shared" si="19"/>
        <v>0</v>
      </c>
      <c r="O40" s="232">
        <f t="shared" si="20"/>
        <v>0</v>
      </c>
      <c r="P40" s="232">
        <f t="shared" si="21"/>
        <v>0</v>
      </c>
      <c r="Q40" s="232">
        <f t="shared" si="22"/>
        <v>0</v>
      </c>
      <c r="R40" s="232">
        <f t="shared" si="23"/>
        <v>0</v>
      </c>
      <c r="S40" s="232">
        <f t="shared" si="24"/>
        <v>0</v>
      </c>
      <c r="T40" s="232">
        <f t="shared" si="25"/>
        <v>0</v>
      </c>
      <c r="U40" s="232">
        <f t="shared" si="26"/>
        <v>0</v>
      </c>
      <c r="V40" s="232">
        <f t="shared" si="27"/>
        <v>0</v>
      </c>
      <c r="W40" s="233">
        <f t="shared" si="28"/>
        <v>0</v>
      </c>
      <c r="X40" s="235"/>
    </row>
    <row r="41" spans="1:25" ht="14.25" customHeight="1" x14ac:dyDescent="0.25">
      <c r="A41" s="75"/>
      <c r="B41" s="212"/>
      <c r="C41" s="213"/>
      <c r="D41" s="214"/>
      <c r="E41" s="215"/>
      <c r="F41" s="216"/>
      <c r="G41" s="214"/>
      <c r="H41" s="217"/>
      <c r="I41" s="227">
        <f t="shared" ca="1" si="5"/>
        <v>0</v>
      </c>
      <c r="J41" s="228" t="str">
        <f t="shared" si="6"/>
        <v>INSERIR DATAS E TOT PARC</v>
      </c>
      <c r="K41" s="229" t="str">
        <f t="shared" si="3"/>
        <v>---</v>
      </c>
      <c r="L41" s="230">
        <f t="shared" si="4"/>
        <v>0</v>
      </c>
      <c r="M41" s="231">
        <f t="shared" si="18"/>
        <v>0</v>
      </c>
      <c r="N41" s="232">
        <f t="shared" si="19"/>
        <v>0</v>
      </c>
      <c r="O41" s="232">
        <f t="shared" si="20"/>
        <v>0</v>
      </c>
      <c r="P41" s="232">
        <f t="shared" si="21"/>
        <v>0</v>
      </c>
      <c r="Q41" s="232">
        <f t="shared" si="22"/>
        <v>0</v>
      </c>
      <c r="R41" s="232">
        <f t="shared" si="23"/>
        <v>0</v>
      </c>
      <c r="S41" s="232">
        <f t="shared" si="24"/>
        <v>0</v>
      </c>
      <c r="T41" s="232">
        <f t="shared" si="25"/>
        <v>0</v>
      </c>
      <c r="U41" s="232">
        <f t="shared" si="26"/>
        <v>0</v>
      </c>
      <c r="V41" s="232">
        <f t="shared" si="27"/>
        <v>0</v>
      </c>
      <c r="W41" s="233">
        <f t="shared" si="28"/>
        <v>0</v>
      </c>
      <c r="X41" s="235"/>
    </row>
    <row r="42" spans="1:25" ht="14.25" customHeight="1" x14ac:dyDescent="0.25">
      <c r="A42" s="72"/>
      <c r="B42" s="212"/>
      <c r="C42" s="213"/>
      <c r="D42" s="214"/>
      <c r="E42" s="215"/>
      <c r="F42" s="216"/>
      <c r="G42" s="214"/>
      <c r="H42" s="217"/>
      <c r="I42" s="227">
        <f t="shared" ca="1" si="5"/>
        <v>0</v>
      </c>
      <c r="J42" s="228" t="str">
        <f t="shared" si="6"/>
        <v>INSERIR DATAS E TOT PARC</v>
      </c>
      <c r="K42" s="229" t="str">
        <f t="shared" si="3"/>
        <v>---</v>
      </c>
      <c r="L42" s="230">
        <f t="shared" si="4"/>
        <v>0</v>
      </c>
      <c r="M42" s="231">
        <f t="shared" si="18"/>
        <v>0</v>
      </c>
      <c r="N42" s="232">
        <f t="shared" si="19"/>
        <v>0</v>
      </c>
      <c r="O42" s="232">
        <f t="shared" si="20"/>
        <v>0</v>
      </c>
      <c r="P42" s="232">
        <f t="shared" si="21"/>
        <v>0</v>
      </c>
      <c r="Q42" s="232">
        <f t="shared" si="22"/>
        <v>0</v>
      </c>
      <c r="R42" s="232">
        <f t="shared" si="23"/>
        <v>0</v>
      </c>
      <c r="S42" s="232">
        <f t="shared" si="24"/>
        <v>0</v>
      </c>
      <c r="T42" s="232">
        <f t="shared" si="25"/>
        <v>0</v>
      </c>
      <c r="U42" s="232">
        <f t="shared" si="26"/>
        <v>0</v>
      </c>
      <c r="V42" s="232">
        <f t="shared" si="27"/>
        <v>0</v>
      </c>
      <c r="W42" s="233">
        <f t="shared" si="28"/>
        <v>0</v>
      </c>
      <c r="X42" s="234"/>
    </row>
    <row r="43" spans="1:25" ht="14.25" customHeight="1" x14ac:dyDescent="0.25">
      <c r="A43" s="72"/>
      <c r="B43" s="212"/>
      <c r="C43" s="213"/>
      <c r="D43" s="214"/>
      <c r="E43" s="215"/>
      <c r="F43" s="216"/>
      <c r="G43" s="214"/>
      <c r="H43" s="217"/>
      <c r="I43" s="227">
        <f t="shared" ca="1" si="5"/>
        <v>0</v>
      </c>
      <c r="J43" s="228" t="str">
        <f t="shared" si="6"/>
        <v>INSERIR DATAS E TOT PARC</v>
      </c>
      <c r="K43" s="229" t="str">
        <f t="shared" si="3"/>
        <v>---</v>
      </c>
      <c r="L43" s="230">
        <f t="shared" si="4"/>
        <v>0</v>
      </c>
      <c r="M43" s="231">
        <f t="shared" si="18"/>
        <v>0</v>
      </c>
      <c r="N43" s="232">
        <f t="shared" si="19"/>
        <v>0</v>
      </c>
      <c r="O43" s="232">
        <f t="shared" si="20"/>
        <v>0</v>
      </c>
      <c r="P43" s="232">
        <f t="shared" si="21"/>
        <v>0</v>
      </c>
      <c r="Q43" s="232">
        <f t="shared" si="22"/>
        <v>0</v>
      </c>
      <c r="R43" s="232">
        <f t="shared" si="23"/>
        <v>0</v>
      </c>
      <c r="S43" s="232">
        <f t="shared" si="24"/>
        <v>0</v>
      </c>
      <c r="T43" s="232">
        <f t="shared" si="25"/>
        <v>0</v>
      </c>
      <c r="U43" s="232">
        <f t="shared" si="26"/>
        <v>0</v>
      </c>
      <c r="V43" s="232">
        <f t="shared" si="27"/>
        <v>0</v>
      </c>
      <c r="W43" s="233">
        <f t="shared" si="28"/>
        <v>0</v>
      </c>
      <c r="X43" s="234"/>
    </row>
    <row r="44" spans="1:25" ht="14.25" customHeight="1" thickBot="1" x14ac:dyDescent="0.3">
      <c r="A44" s="72"/>
      <c r="B44" s="219"/>
      <c r="C44" s="220"/>
      <c r="D44" s="221"/>
      <c r="E44" s="222"/>
      <c r="F44" s="223"/>
      <c r="G44" s="221"/>
      <c r="H44" s="224"/>
      <c r="I44" s="227">
        <f t="shared" ca="1" si="5"/>
        <v>0</v>
      </c>
      <c r="J44" s="228" t="str">
        <f t="shared" si="6"/>
        <v>INSERIR DATAS E TOT PARC</v>
      </c>
      <c r="K44" s="229" t="str">
        <f t="shared" si="3"/>
        <v>---</v>
      </c>
      <c r="L44" s="230">
        <f t="shared" si="4"/>
        <v>0</v>
      </c>
      <c r="M44" s="231">
        <f t="shared" si="18"/>
        <v>0</v>
      </c>
      <c r="N44" s="232">
        <f t="shared" si="19"/>
        <v>0</v>
      </c>
      <c r="O44" s="232">
        <f t="shared" si="20"/>
        <v>0</v>
      </c>
      <c r="P44" s="232">
        <f t="shared" si="21"/>
        <v>0</v>
      </c>
      <c r="Q44" s="232">
        <f t="shared" si="22"/>
        <v>0</v>
      </c>
      <c r="R44" s="232">
        <f t="shared" si="23"/>
        <v>0</v>
      </c>
      <c r="S44" s="232">
        <f t="shared" si="24"/>
        <v>0</v>
      </c>
      <c r="T44" s="232">
        <f t="shared" si="25"/>
        <v>0</v>
      </c>
      <c r="U44" s="232">
        <f t="shared" si="26"/>
        <v>0</v>
      </c>
      <c r="V44" s="232">
        <f t="shared" si="27"/>
        <v>0</v>
      </c>
      <c r="W44" s="233">
        <f t="shared" si="28"/>
        <v>0</v>
      </c>
      <c r="X44" s="234"/>
    </row>
    <row r="45" spans="1:25" ht="14.25" customHeight="1" thickBot="1" x14ac:dyDescent="0.3">
      <c r="B45" s="327" t="s">
        <v>19</v>
      </c>
      <c r="C45" s="328"/>
      <c r="D45" s="329"/>
      <c r="E45" s="129">
        <f>MAX(K5:K44)</f>
        <v>0</v>
      </c>
      <c r="F45" s="330" t="s">
        <v>177</v>
      </c>
      <c r="G45" s="331"/>
      <c r="H45" s="332"/>
      <c r="I45" s="236">
        <f ca="1">IF(OR((J45&lt;$A$2),(J45=$A$2)),IF(($D$2-MONTH(J45))=0,0,IF(AND($D$2-MONTH(J45)=1,DAY(J45)&lt;32,DAY(J45)&gt;4),0,SUM(I5:I44))),"DT PAG &gt; DT HJ")</f>
        <v>400</v>
      </c>
      <c r="J45" s="225">
        <v>44621</v>
      </c>
      <c r="K45" s="237" t="s">
        <v>20</v>
      </c>
      <c r="L45" s="238">
        <f ca="1">SUM(L5:L44)+I45</f>
        <v>800</v>
      </c>
      <c r="M45" s="239">
        <f t="shared" ref="M45:W45" ca="1" si="29">SUM(M5:M44)</f>
        <v>400</v>
      </c>
      <c r="N45" s="240">
        <f t="shared" ca="1" si="29"/>
        <v>400</v>
      </c>
      <c r="O45" s="240">
        <f t="shared" ca="1" si="29"/>
        <v>400</v>
      </c>
      <c r="P45" s="240">
        <f t="shared" ca="1" si="29"/>
        <v>400</v>
      </c>
      <c r="Q45" s="240">
        <f t="shared" ca="1" si="29"/>
        <v>400</v>
      </c>
      <c r="R45" s="240">
        <f t="shared" ca="1" si="29"/>
        <v>400</v>
      </c>
      <c r="S45" s="240">
        <f t="shared" ca="1" si="29"/>
        <v>400</v>
      </c>
      <c r="T45" s="240">
        <f t="shared" ca="1" si="29"/>
        <v>489</v>
      </c>
      <c r="U45" s="240">
        <f t="shared" ca="1" si="29"/>
        <v>400</v>
      </c>
      <c r="V45" s="240">
        <f t="shared" ca="1" si="29"/>
        <v>400</v>
      </c>
      <c r="W45" s="241">
        <f t="shared" ca="1" si="29"/>
        <v>400</v>
      </c>
      <c r="X45" s="242">
        <f ca="1">SUM(M45:W45)</f>
        <v>4489</v>
      </c>
      <c r="Y45" s="76"/>
    </row>
    <row r="46" spans="1:25" ht="14.25" customHeight="1" thickBot="1" x14ac:dyDescent="0.3">
      <c r="B46" s="128"/>
      <c r="C46" s="105"/>
      <c r="D46" s="105"/>
      <c r="E46" s="105"/>
      <c r="F46" s="105"/>
      <c r="G46" s="106"/>
      <c r="H46" s="107"/>
      <c r="I46" s="106"/>
      <c r="J46" s="310" t="s">
        <v>21</v>
      </c>
      <c r="K46" s="316"/>
      <c r="L46" s="316"/>
      <c r="M46" s="155">
        <f ca="1">IFERROR(M45/M$264,0)</f>
        <v>0.30769230769230771</v>
      </c>
      <c r="N46" s="156">
        <f t="shared" ref="N46:W46" ca="1" si="30">IFERROR(N45/N$264,0)</f>
        <v>0.30769230769230771</v>
      </c>
      <c r="O46" s="156">
        <f t="shared" ca="1" si="30"/>
        <v>1</v>
      </c>
      <c r="P46" s="156">
        <f t="shared" ca="1" si="30"/>
        <v>1</v>
      </c>
      <c r="Q46" s="156">
        <f t="shared" ca="1" si="30"/>
        <v>1</v>
      </c>
      <c r="R46" s="156">
        <f t="shared" ca="1" si="30"/>
        <v>1</v>
      </c>
      <c r="S46" s="156">
        <f t="shared" ca="1" si="30"/>
        <v>1</v>
      </c>
      <c r="T46" s="156">
        <f t="shared" ca="1" si="30"/>
        <v>1</v>
      </c>
      <c r="U46" s="156">
        <f t="shared" ca="1" si="30"/>
        <v>1</v>
      </c>
      <c r="V46" s="156">
        <f t="shared" ca="1" si="30"/>
        <v>1</v>
      </c>
      <c r="W46" s="157">
        <f t="shared" ca="1" si="30"/>
        <v>1</v>
      </c>
      <c r="X46" s="7"/>
    </row>
    <row r="47" spans="1:25" ht="14.25" customHeight="1" thickBot="1" x14ac:dyDescent="0.3">
      <c r="B47" s="381" t="s">
        <v>174</v>
      </c>
      <c r="C47" s="382"/>
      <c r="D47" s="382"/>
      <c r="E47" s="382"/>
      <c r="F47" s="382"/>
      <c r="G47" s="382"/>
      <c r="H47" s="382"/>
      <c r="I47" s="383"/>
      <c r="J47" s="384"/>
      <c r="K47" s="384"/>
      <c r="L47" s="385"/>
      <c r="M47" s="386" t="str">
        <f>B47</f>
        <v>CARTÃO-02 | FINAL:XXXX</v>
      </c>
      <c r="N47" s="386"/>
      <c r="O47" s="386"/>
      <c r="P47" s="386"/>
      <c r="Q47" s="386"/>
      <c r="R47" s="386"/>
      <c r="S47" s="386"/>
      <c r="T47" s="386"/>
      <c r="U47" s="386"/>
      <c r="V47" s="386"/>
      <c r="W47" s="387"/>
      <c r="X47" s="154"/>
    </row>
    <row r="48" spans="1:25" ht="14.25" customHeight="1" x14ac:dyDescent="0.25">
      <c r="B48" s="293"/>
      <c r="C48" s="294"/>
      <c r="D48" s="295"/>
      <c r="E48" s="295"/>
      <c r="F48" s="296"/>
      <c r="G48" s="295"/>
      <c r="H48" s="297"/>
      <c r="I48" s="312">
        <f t="shared" ref="I48:I50" ca="1" si="31">IF(AND(F48="anual",MONTH(B48)&lt;&gt;$D$2),0,IF(OR(J48=0,J48="TOTALMENTE PAGA"),0,H48))</f>
        <v>0</v>
      </c>
      <c r="J48" s="313" t="str">
        <f t="shared" ref="J48:J75" si="32">IF(OR(G48=0,B48=0,F48=0),"INSERIR DATAS E TOT PARC",IF(OR(F48="mensal",F48="anual"),IF(F48="anual",IF(OR(AND((MONTH(B48)=MONTH($A$2)),(DAY(B48)&gt;DAY($A$2))),AND((MONTH(B48)-1=MONTH($A$2)),(DAY(B48)&lt;=DAY($A$2)))),1,0),1),IF(B48&gt;G48,"DATAS INVALIDAS",IF(OR($A$2&lt;EDATE(G48,-1),$A$2=EDATE(G48,-1)),0,IF(OR($A$2&lt;G48,$A$2=G48),1,IF(DAY($A$2)&lt;5,IF(((YEAR($A$2)-YEAR(G48))*12+(MONTH($A$2)-MONTH(G48)+1))&gt;F48,"TOTALMENTE PAGA",(YEAR($A$2)-YEAR(G48))*12+(MONTH($A$2)-MONTH(G48)+1)),IF(($A$2&gt;K48),"TOTALMENTE PAGA",(YEAR($A$2)-YEAR(G48))*12+(MONTH($A$2)-MONTH(G48)+2))))))))</f>
        <v>INSERIR DATAS E TOT PARC</v>
      </c>
      <c r="K48" s="10" t="str">
        <f t="shared" ref="K48:K50" si="33">IF(OR(F48="anual",F48="mensal",B48=0),"---",EDATE(G48,F48-1))</f>
        <v>---</v>
      </c>
      <c r="L48" s="314">
        <f t="shared" ref="L48:L50" si="34">IF(OR(F48="mensal",F48="anual"),IF(J48=1,H48,0),IF(H48=0,0,IF(J48="TOTALMENTE PAGA",0,(F48-J48)*H48)))</f>
        <v>0</v>
      </c>
      <c r="M48" s="12">
        <f>IF(F48="anual",IF(MONTH(B48)=$M$3,H48,0),IF(F48="mensal",I48,IF(K48="---",0,IF($M$2&lt;YEAR(K48),H48,IF($M$2=YEAR(K48),IF(OR($M$3&lt;MONTH(K48),$M$3=MONTH(K48)),H48,0),0)))))</f>
        <v>0</v>
      </c>
      <c r="N48" s="13">
        <f>IF(F48="anual",IF(MONTH(B48)=$N$3,H48,0),IF(F48="mensal",I48,IF(K48="---",0,IF($N$2&lt;YEAR(K48),H48,IF($N$2=YEAR(K48),IF(OR($N$3&lt;MONTH(K48),$N$3=MONTH(K48)),H48,0),0)))))</f>
        <v>0</v>
      </c>
      <c r="O48" s="13">
        <f>IF(F48="anual",IF(MONTH(B48)=$O$3,H48,0),IF(F48="mensal",I48,IF(K48="---",0,IF($O$2&lt;YEAR(K48),H48,IF($O$2=YEAR(K48),IF(OR($O$3&lt;MONTH(K48),$O$3=MONTH(K48)),H48,0),0)))))</f>
        <v>0</v>
      </c>
      <c r="P48" s="13">
        <f>IF(F48="anual",IF(MONTH(B48)=$P$3,H48,0),IF(F48="mensal",I48,IF(K48="---",0,IF($P$2&lt;YEAR(K48),H48,IF($P$2=YEAR(K48),IF(OR($P$3&lt;MONTH(K48),$P$3=MONTH(K48)),H48,0),0)))))</f>
        <v>0</v>
      </c>
      <c r="Q48" s="13">
        <f>IF(F48="anual",IF(MONTH(B48)=$Q$3,H48,0),IF(F48="mensal",I48,IF(K48="---",0,IF($Q$2&lt;YEAR(K48),H48,IF($Q$2=YEAR(K48),IF(OR($Q$3&lt;MONTH(K48),$Q$3=MONTH(K48)),H48,0),0)))))</f>
        <v>0</v>
      </c>
      <c r="R48" s="13">
        <f>IF(F48="anual",IF(MONTH(B48)=$R$3,H48,0),IF(F48="mensal",I48,IF(K48="---",0,IF($R$2&lt;YEAR(K48),H48,IF($R$2=YEAR(K48),IF(OR($R$3&lt;MONTH(K48),$R$3=MONTH(K48)),H48,0),0)))))</f>
        <v>0</v>
      </c>
      <c r="S48" s="13">
        <f>IF(F48="anual",IF(MONTH(B48)=$S$3,H48,0),IF(F48="mensal",I48,IF(K48="---",0,IF($S$2&lt;YEAR(K48),H48,IF($S$2=YEAR(K48),IF(OR($S$3&lt;MONTH(K48),$S$3=MONTH(K48)),H48,0),0)))))</f>
        <v>0</v>
      </c>
      <c r="T48" s="13">
        <f>IF(F48="anual",IF(MONTH(B48)=$T$3,H48,0),IF(F48="mensal",I48,IF(K48="---",0,IF($T$2&lt;YEAR(K48),H48,IF($T$2=YEAR(K48),IF(OR($T$3&lt;MONTH(K48),$T$3=MONTH(K48)),H48,0),0)))))</f>
        <v>0</v>
      </c>
      <c r="U48" s="13">
        <f>IF(F48="anual",IF(MONTH(B48)=$U$3,H48,0),IF(F48="mensal",I48,IF(K48="---",0,IF($U$2&lt;YEAR(K48),H48,IF($U$2=YEAR(K48),IF(OR($U$3&lt;MONTH(K48),$U$3=MONTH(K48)),H48,0),0)))))</f>
        <v>0</v>
      </c>
      <c r="V48" s="13">
        <f>IF(F48="anual",IF(MONTH(B48)=$V$3,H48,0),IF(F48="mensal",I48,IF(K48="---",0,IF($V$2&lt;YEAR(K48),H48,IF($V$2=YEAR(K48),IF(OR($V$3&lt;MONTH(K48),$V$3=MONTH(K48)),H48,0),0)))))</f>
        <v>0</v>
      </c>
      <c r="W48" s="14">
        <f>IF(F48="anual",IF(MONTH(B48)=$W$3,H48,0),IF(F48="mensal",I48,IF(K48="---",0,IF($W$2&lt;YEAR(K48),H48,IF($W$2=YEAR(K48),IF(OR($W$3&lt;MONTH(K48),$W$3=MONTH(K48)),H48,0),0)))))</f>
        <v>0</v>
      </c>
      <c r="X48" s="154"/>
    </row>
    <row r="49" spans="1:24" ht="14.25" customHeight="1" x14ac:dyDescent="0.25">
      <c r="B49" s="293"/>
      <c r="C49" s="294"/>
      <c r="D49" s="295"/>
      <c r="E49" s="295"/>
      <c r="F49" s="296"/>
      <c r="G49" s="295"/>
      <c r="H49" s="297"/>
      <c r="I49" s="8">
        <f t="shared" ca="1" si="31"/>
        <v>0</v>
      </c>
      <c r="J49" s="9" t="str">
        <f t="shared" si="32"/>
        <v>INSERIR DATAS E TOT PARC</v>
      </c>
      <c r="K49" s="10" t="str">
        <f t="shared" si="33"/>
        <v>---</v>
      </c>
      <c r="L49" s="11">
        <f t="shared" si="34"/>
        <v>0</v>
      </c>
      <c r="M49" s="12">
        <f t="shared" ref="M49:M75" si="35">IF(F49="anual",IF(MONTH(B49)=$M$3,H49,0),IF(F49="mensal",I49,IF(K49="---",0,IF($M$2&lt;YEAR(K49),H49,IF($M$2=YEAR(K49),IF(OR($M$3&lt;MONTH(K49),$M$3=MONTH(K49)),H49,0),0)))))</f>
        <v>0</v>
      </c>
      <c r="N49" s="13">
        <f t="shared" ref="N49:N75" si="36">IF(F49="anual",IF(MONTH(B49)=$N$3,H49,0),IF(F49="mensal",I49,IF(K49="---",0,IF($N$2&lt;YEAR(K49),H49,IF($N$2=YEAR(K49),IF(OR($N$3&lt;MONTH(K49),$N$3=MONTH(K49)),H49,0),0)))))</f>
        <v>0</v>
      </c>
      <c r="O49" s="13">
        <f t="shared" ref="O49:O75" si="37">IF(F49="anual",IF(MONTH(B49)=$O$3,H49,0),IF(F49="mensal",I49,IF(K49="---",0,IF($O$2&lt;YEAR(K49),H49,IF($O$2=YEAR(K49),IF(OR($O$3&lt;MONTH(K49),$O$3=MONTH(K49)),H49,0),0)))))</f>
        <v>0</v>
      </c>
      <c r="P49" s="13">
        <f t="shared" ref="P49:P75" si="38">IF(F49="anual",IF(MONTH(B49)=$P$3,H49,0),IF(F49="mensal",I49,IF(K49="---",0,IF($P$2&lt;YEAR(K49),H49,IF($P$2=YEAR(K49),IF(OR($P$3&lt;MONTH(K49),$P$3=MONTH(K49)),H49,0),0)))))</f>
        <v>0</v>
      </c>
      <c r="Q49" s="13">
        <f t="shared" ref="Q49:Q75" si="39">IF(F49="anual",IF(MONTH(B49)=$Q$3,H49,0),IF(F49="mensal",I49,IF(K49="---",0,IF($Q$2&lt;YEAR(K49),H49,IF($Q$2=YEAR(K49),IF(OR($Q$3&lt;MONTH(K49),$Q$3=MONTH(K49)),H49,0),0)))))</f>
        <v>0</v>
      </c>
      <c r="R49" s="13">
        <f t="shared" ref="R49:R75" si="40">IF(F49="anual",IF(MONTH(B49)=$R$3,H49,0),IF(F49="mensal",I49,IF(K49="---",0,IF($R$2&lt;YEAR(K49),H49,IF($R$2=YEAR(K49),IF(OR($R$3&lt;MONTH(K49),$R$3=MONTH(K49)),H49,0),0)))))</f>
        <v>0</v>
      </c>
      <c r="S49" s="13">
        <f t="shared" ref="S49:S75" si="41">IF(F49="anual",IF(MONTH(B49)=$S$3,H49,0),IF(F49="mensal",I49,IF(K49="---",0,IF($S$2&lt;YEAR(K49),H49,IF($S$2=YEAR(K49),IF(OR($S$3&lt;MONTH(K49),$S$3=MONTH(K49)),H49,0),0)))))</f>
        <v>0</v>
      </c>
      <c r="T49" s="13">
        <f t="shared" ref="T49:T75" si="42">IF(F49="anual",IF(MONTH(B49)=$T$3,H49,0),IF(F49="mensal",I49,IF(K49="---",0,IF($T$2&lt;YEAR(K49),H49,IF($T$2=YEAR(K49),IF(OR($T$3&lt;MONTH(K49),$T$3=MONTH(K49)),H49,0),0)))))</f>
        <v>0</v>
      </c>
      <c r="U49" s="13">
        <f t="shared" ref="U49:U75" si="43">IF(F49="anual",IF(MONTH(B49)=$U$3,H49,0),IF(F49="mensal",I49,IF(K49="---",0,IF($U$2&lt;YEAR(K49),H49,IF($U$2=YEAR(K49),IF(OR($U$3&lt;MONTH(K49),$U$3=MONTH(K49)),H49,0),0)))))</f>
        <v>0</v>
      </c>
      <c r="V49" s="13">
        <f t="shared" ref="V49:V75" si="44">IF(F49="anual",IF(MONTH(B49)=$V$3,H49,0),IF(F49="mensal",I49,IF(K49="---",0,IF($V$2&lt;YEAR(K49),H49,IF($V$2=YEAR(K49),IF(OR($V$3&lt;MONTH(K49),$V$3=MONTH(K49)),H49,0),0)))))</f>
        <v>0</v>
      </c>
      <c r="W49" s="14">
        <f t="shared" ref="W49:W75" si="45">IF(F49="anual",IF(MONTH(B49)=$W$3,H49,0),IF(F49="mensal",I49,IF(K49="---",0,IF($W$2&lt;YEAR(K49),H49,IF($W$2=YEAR(K49),IF(OR($W$3&lt;MONTH(K49),$W$3=MONTH(K49)),H49,0),0)))))</f>
        <v>0</v>
      </c>
      <c r="X49" s="154"/>
    </row>
    <row r="50" spans="1:24" ht="14.25" customHeight="1" x14ac:dyDescent="0.25">
      <c r="A50" s="5"/>
      <c r="B50" s="293"/>
      <c r="C50" s="294"/>
      <c r="D50" s="295"/>
      <c r="E50" s="295"/>
      <c r="F50" s="296"/>
      <c r="G50" s="295"/>
      <c r="H50" s="297"/>
      <c r="I50" s="8">
        <f t="shared" ca="1" si="31"/>
        <v>0</v>
      </c>
      <c r="J50" s="9" t="str">
        <f t="shared" si="32"/>
        <v>INSERIR DATAS E TOT PARC</v>
      </c>
      <c r="K50" s="10" t="str">
        <f t="shared" si="33"/>
        <v>---</v>
      </c>
      <c r="L50" s="11">
        <f t="shared" si="34"/>
        <v>0</v>
      </c>
      <c r="M50" s="12">
        <f t="shared" si="35"/>
        <v>0</v>
      </c>
      <c r="N50" s="13">
        <f t="shared" si="36"/>
        <v>0</v>
      </c>
      <c r="O50" s="13">
        <f t="shared" si="37"/>
        <v>0</v>
      </c>
      <c r="P50" s="13">
        <f t="shared" si="38"/>
        <v>0</v>
      </c>
      <c r="Q50" s="13">
        <f t="shared" si="39"/>
        <v>0</v>
      </c>
      <c r="R50" s="13">
        <f t="shared" si="40"/>
        <v>0</v>
      </c>
      <c r="S50" s="13">
        <f t="shared" si="41"/>
        <v>0</v>
      </c>
      <c r="T50" s="13">
        <f t="shared" si="42"/>
        <v>0</v>
      </c>
      <c r="U50" s="13">
        <f t="shared" si="43"/>
        <v>0</v>
      </c>
      <c r="V50" s="13">
        <f t="shared" si="44"/>
        <v>0</v>
      </c>
      <c r="W50" s="14">
        <f t="shared" si="45"/>
        <v>0</v>
      </c>
      <c r="X50" s="5"/>
    </row>
    <row r="51" spans="1:24" ht="14.25" customHeight="1" x14ac:dyDescent="0.25">
      <c r="B51" s="293"/>
      <c r="C51" s="294"/>
      <c r="D51" s="295"/>
      <c r="E51" s="295"/>
      <c r="F51" s="296"/>
      <c r="G51" s="295"/>
      <c r="H51" s="297"/>
      <c r="I51" s="8">
        <f t="shared" ref="I51:I75" ca="1" si="46">IF(AND(F51="anual",MONTH(B51)&lt;&gt;$D$2),0,IF(OR(J51=0,J51="TOTALMENTE PAGA"),0,H51))</f>
        <v>0</v>
      </c>
      <c r="J51" s="9" t="str">
        <f t="shared" si="32"/>
        <v>INSERIR DATAS E TOT PARC</v>
      </c>
      <c r="K51" s="10" t="str">
        <f t="shared" ref="K51:K75" si="47">IF(OR(F51="anual",F51="mensal",B51=0),"---",EDATE(G51,F51-1))</f>
        <v>---</v>
      </c>
      <c r="L51" s="11">
        <f t="shared" ref="L51:L75" si="48">IF(OR(F51="mensal",F51="anual"),IF(J51=1,H51,0),IF(H51=0,0,IF(J51="TOTALMENTE PAGA",0,(F51-J51)*H51)))</f>
        <v>0</v>
      </c>
      <c r="M51" s="12">
        <f t="shared" si="35"/>
        <v>0</v>
      </c>
      <c r="N51" s="13">
        <f t="shared" si="36"/>
        <v>0</v>
      </c>
      <c r="O51" s="13">
        <f t="shared" si="37"/>
        <v>0</v>
      </c>
      <c r="P51" s="13">
        <f t="shared" si="38"/>
        <v>0</v>
      </c>
      <c r="Q51" s="13">
        <f t="shared" si="39"/>
        <v>0</v>
      </c>
      <c r="R51" s="13">
        <f t="shared" si="40"/>
        <v>0</v>
      </c>
      <c r="S51" s="13">
        <f t="shared" si="41"/>
        <v>0</v>
      </c>
      <c r="T51" s="13">
        <f t="shared" si="42"/>
        <v>0</v>
      </c>
      <c r="U51" s="13">
        <f t="shared" si="43"/>
        <v>0</v>
      </c>
      <c r="V51" s="13">
        <f t="shared" si="44"/>
        <v>0</v>
      </c>
      <c r="W51" s="14">
        <f t="shared" si="45"/>
        <v>0</v>
      </c>
      <c r="X51" s="154"/>
    </row>
    <row r="52" spans="1:24" s="134" customFormat="1" ht="14.25" customHeight="1" x14ac:dyDescent="0.25">
      <c r="B52" s="293"/>
      <c r="C52" s="294"/>
      <c r="D52" s="295"/>
      <c r="E52" s="295"/>
      <c r="F52" s="296"/>
      <c r="G52" s="295"/>
      <c r="H52" s="297"/>
      <c r="I52" s="8">
        <f t="shared" ref="I52:I62" ca="1" si="49">IF(AND(F52="anual",MONTH(B52)&lt;&gt;$D$2),0,IF(OR(J52=0,J52="TOTALMENTE PAGA"),0,H52))</f>
        <v>0</v>
      </c>
      <c r="J52" s="9" t="str">
        <f t="shared" si="32"/>
        <v>INSERIR DATAS E TOT PARC</v>
      </c>
      <c r="K52" s="10" t="str">
        <f t="shared" ref="K52:K62" si="50">IF(OR(F52="anual",F52="mensal",B52=0),"---",EDATE(G52,F52-1))</f>
        <v>---</v>
      </c>
      <c r="L52" s="11">
        <f t="shared" ref="L52:L62" si="51">IF(OR(F52="mensal",F52="anual"),IF(J52=1,H52,0),IF(H52=0,0,IF(J52="TOTALMENTE PAGA",0,(F52-J52)*H52)))</f>
        <v>0</v>
      </c>
      <c r="M52" s="12">
        <f t="shared" ref="M52:M62" si="52">IF(F52="anual",IF(MONTH(B52)=$M$3,H52,0),IF(F52="mensal",I52,IF(K52="---",0,IF($M$2&lt;YEAR(K52),H52,IF($M$2=YEAR(K52),IF(OR($M$3&lt;MONTH(K52),$M$3=MONTH(K52)),H52,0),0)))))</f>
        <v>0</v>
      </c>
      <c r="N52" s="13">
        <f t="shared" ref="N52:N62" si="53">IF(F52="anual",IF(MONTH(B52)=$N$3,H52,0),IF(F52="mensal",I52,IF(K52="---",0,IF($N$2&lt;YEAR(K52),H52,IF($N$2=YEAR(K52),IF(OR($N$3&lt;MONTH(K52),$N$3=MONTH(K52)),H52,0),0)))))</f>
        <v>0</v>
      </c>
      <c r="O52" s="13">
        <f t="shared" ref="O52:O62" si="54">IF(F52="anual",IF(MONTH(B52)=$O$3,H52,0),IF(F52="mensal",I52,IF(K52="---",0,IF($O$2&lt;YEAR(K52),H52,IF($O$2=YEAR(K52),IF(OR($O$3&lt;MONTH(K52),$O$3=MONTH(K52)),H52,0),0)))))</f>
        <v>0</v>
      </c>
      <c r="P52" s="13">
        <f t="shared" ref="P52:P62" si="55">IF(F52="anual",IF(MONTH(B52)=$P$3,H52,0),IF(F52="mensal",I52,IF(K52="---",0,IF($P$2&lt;YEAR(K52),H52,IF($P$2=YEAR(K52),IF(OR($P$3&lt;MONTH(K52),$P$3=MONTH(K52)),H52,0),0)))))</f>
        <v>0</v>
      </c>
      <c r="Q52" s="13">
        <f t="shared" ref="Q52:Q62" si="56">IF(F52="anual",IF(MONTH(B52)=$Q$3,H52,0),IF(F52="mensal",I52,IF(K52="---",0,IF($Q$2&lt;YEAR(K52),H52,IF($Q$2=YEAR(K52),IF(OR($Q$3&lt;MONTH(K52),$Q$3=MONTH(K52)),H52,0),0)))))</f>
        <v>0</v>
      </c>
      <c r="R52" s="13">
        <f t="shared" ref="R52:R62" si="57">IF(F52="anual",IF(MONTH(B52)=$R$3,H52,0),IF(F52="mensal",I52,IF(K52="---",0,IF($R$2&lt;YEAR(K52),H52,IF($R$2=YEAR(K52),IF(OR($R$3&lt;MONTH(K52),$R$3=MONTH(K52)),H52,0),0)))))</f>
        <v>0</v>
      </c>
      <c r="S52" s="13">
        <f t="shared" ref="S52:S62" si="58">IF(F52="anual",IF(MONTH(B52)=$S$3,H52,0),IF(F52="mensal",I52,IF(K52="---",0,IF($S$2&lt;YEAR(K52),H52,IF($S$2=YEAR(K52),IF(OR($S$3&lt;MONTH(K52),$S$3=MONTH(K52)),H52,0),0)))))</f>
        <v>0</v>
      </c>
      <c r="T52" s="13">
        <f t="shared" ref="T52:T62" si="59">IF(F52="anual",IF(MONTH(B52)=$T$3,H52,0),IF(F52="mensal",I52,IF(K52="---",0,IF($T$2&lt;YEAR(K52),H52,IF($T$2=YEAR(K52),IF(OR($T$3&lt;MONTH(K52),$T$3=MONTH(K52)),H52,0),0)))))</f>
        <v>0</v>
      </c>
      <c r="U52" s="13">
        <f t="shared" ref="U52:U62" si="60">IF(F52="anual",IF(MONTH(B52)=$U$3,H52,0),IF(F52="mensal",I52,IF(K52="---",0,IF($U$2&lt;YEAR(K52),H52,IF($U$2=YEAR(K52),IF(OR($U$3&lt;MONTH(K52),$U$3=MONTH(K52)),H52,0),0)))))</f>
        <v>0</v>
      </c>
      <c r="V52" s="13">
        <f t="shared" ref="V52:V62" si="61">IF(F52="anual",IF(MONTH(B52)=$V$3,H52,0),IF(F52="mensal",I52,IF(K52="---",0,IF($V$2&lt;YEAR(K52),H52,IF($V$2=YEAR(K52),IF(OR($V$3&lt;MONTH(K52),$V$3=MONTH(K52)),H52,0),0)))))</f>
        <v>0</v>
      </c>
      <c r="W52" s="14">
        <f t="shared" ref="W52:W62" si="62">IF(F52="anual",IF(MONTH(B52)=$W$3,H52,0),IF(F52="mensal",I52,IF(K52="---",0,IF($W$2&lt;YEAR(K52),H52,IF($W$2=YEAR(K52),IF(OR($W$3&lt;MONTH(K52),$W$3=MONTH(K52)),H52,0),0)))))</f>
        <v>0</v>
      </c>
      <c r="X52" s="154"/>
    </row>
    <row r="53" spans="1:24" s="134" customFormat="1" ht="14.25" customHeight="1" x14ac:dyDescent="0.25">
      <c r="B53" s="293"/>
      <c r="C53" s="294"/>
      <c r="D53" s="295"/>
      <c r="E53" s="295"/>
      <c r="F53" s="296"/>
      <c r="G53" s="295"/>
      <c r="H53" s="297"/>
      <c r="I53" s="8">
        <f t="shared" ca="1" si="49"/>
        <v>0</v>
      </c>
      <c r="J53" s="9" t="str">
        <f t="shared" si="32"/>
        <v>INSERIR DATAS E TOT PARC</v>
      </c>
      <c r="K53" s="10" t="str">
        <f t="shared" si="50"/>
        <v>---</v>
      </c>
      <c r="L53" s="11">
        <f t="shared" si="51"/>
        <v>0</v>
      </c>
      <c r="M53" s="12">
        <f t="shared" si="52"/>
        <v>0</v>
      </c>
      <c r="N53" s="13">
        <f t="shared" si="53"/>
        <v>0</v>
      </c>
      <c r="O53" s="13">
        <f t="shared" si="54"/>
        <v>0</v>
      </c>
      <c r="P53" s="13">
        <f t="shared" si="55"/>
        <v>0</v>
      </c>
      <c r="Q53" s="13">
        <f t="shared" si="56"/>
        <v>0</v>
      </c>
      <c r="R53" s="13">
        <f t="shared" si="57"/>
        <v>0</v>
      </c>
      <c r="S53" s="13">
        <f t="shared" si="58"/>
        <v>0</v>
      </c>
      <c r="T53" s="13">
        <f t="shared" si="59"/>
        <v>0</v>
      </c>
      <c r="U53" s="13">
        <f t="shared" si="60"/>
        <v>0</v>
      </c>
      <c r="V53" s="13">
        <f t="shared" si="61"/>
        <v>0</v>
      </c>
      <c r="W53" s="14">
        <f t="shared" si="62"/>
        <v>0</v>
      </c>
      <c r="X53" s="154"/>
    </row>
    <row r="54" spans="1:24" s="134" customFormat="1" ht="14.25" customHeight="1" x14ac:dyDescent="0.25">
      <c r="B54" s="293"/>
      <c r="C54" s="294"/>
      <c r="D54" s="295"/>
      <c r="E54" s="295"/>
      <c r="F54" s="296"/>
      <c r="G54" s="295"/>
      <c r="H54" s="297"/>
      <c r="I54" s="8">
        <f t="shared" ca="1" si="49"/>
        <v>0</v>
      </c>
      <c r="J54" s="9" t="str">
        <f t="shared" si="32"/>
        <v>INSERIR DATAS E TOT PARC</v>
      </c>
      <c r="K54" s="10" t="str">
        <f t="shared" si="50"/>
        <v>---</v>
      </c>
      <c r="L54" s="11">
        <f t="shared" si="51"/>
        <v>0</v>
      </c>
      <c r="M54" s="12">
        <f t="shared" si="52"/>
        <v>0</v>
      </c>
      <c r="N54" s="13">
        <f t="shared" si="53"/>
        <v>0</v>
      </c>
      <c r="O54" s="13">
        <f t="shared" si="54"/>
        <v>0</v>
      </c>
      <c r="P54" s="13">
        <f t="shared" si="55"/>
        <v>0</v>
      </c>
      <c r="Q54" s="13">
        <f t="shared" si="56"/>
        <v>0</v>
      </c>
      <c r="R54" s="13">
        <f t="shared" si="57"/>
        <v>0</v>
      </c>
      <c r="S54" s="13">
        <f t="shared" si="58"/>
        <v>0</v>
      </c>
      <c r="T54" s="13">
        <f t="shared" si="59"/>
        <v>0</v>
      </c>
      <c r="U54" s="13">
        <f t="shared" si="60"/>
        <v>0</v>
      </c>
      <c r="V54" s="13">
        <f t="shared" si="61"/>
        <v>0</v>
      </c>
      <c r="W54" s="14">
        <f t="shared" si="62"/>
        <v>0</v>
      </c>
      <c r="X54" s="154"/>
    </row>
    <row r="55" spans="1:24" s="134" customFormat="1" ht="14.25" customHeight="1" x14ac:dyDescent="0.25">
      <c r="B55" s="293"/>
      <c r="C55" s="294"/>
      <c r="D55" s="295"/>
      <c r="E55" s="295"/>
      <c r="F55" s="296"/>
      <c r="G55" s="295"/>
      <c r="H55" s="298"/>
      <c r="I55" s="8">
        <f t="shared" ca="1" si="49"/>
        <v>0</v>
      </c>
      <c r="J55" s="9" t="str">
        <f t="shared" si="32"/>
        <v>INSERIR DATAS E TOT PARC</v>
      </c>
      <c r="K55" s="10" t="str">
        <f t="shared" si="50"/>
        <v>---</v>
      </c>
      <c r="L55" s="11">
        <f t="shared" si="51"/>
        <v>0</v>
      </c>
      <c r="M55" s="12">
        <f t="shared" si="52"/>
        <v>0</v>
      </c>
      <c r="N55" s="13">
        <f t="shared" si="53"/>
        <v>0</v>
      </c>
      <c r="O55" s="13">
        <f t="shared" si="54"/>
        <v>0</v>
      </c>
      <c r="P55" s="13">
        <f t="shared" si="55"/>
        <v>0</v>
      </c>
      <c r="Q55" s="13">
        <f t="shared" si="56"/>
        <v>0</v>
      </c>
      <c r="R55" s="13">
        <f t="shared" si="57"/>
        <v>0</v>
      </c>
      <c r="S55" s="13">
        <f t="shared" si="58"/>
        <v>0</v>
      </c>
      <c r="T55" s="13">
        <f t="shared" si="59"/>
        <v>0</v>
      </c>
      <c r="U55" s="13">
        <f t="shared" si="60"/>
        <v>0</v>
      </c>
      <c r="V55" s="13">
        <f t="shared" si="61"/>
        <v>0</v>
      </c>
      <c r="W55" s="14">
        <f t="shared" si="62"/>
        <v>0</v>
      </c>
      <c r="X55" s="154"/>
    </row>
    <row r="56" spans="1:24" s="134" customFormat="1" ht="14.25" customHeight="1" x14ac:dyDescent="0.25">
      <c r="B56" s="293"/>
      <c r="C56" s="294"/>
      <c r="D56" s="295"/>
      <c r="E56" s="295"/>
      <c r="F56" s="296"/>
      <c r="G56" s="295"/>
      <c r="H56" s="297"/>
      <c r="I56" s="8">
        <f t="shared" ca="1" si="49"/>
        <v>0</v>
      </c>
      <c r="J56" s="9" t="str">
        <f t="shared" si="32"/>
        <v>INSERIR DATAS E TOT PARC</v>
      </c>
      <c r="K56" s="10" t="str">
        <f t="shared" si="50"/>
        <v>---</v>
      </c>
      <c r="L56" s="11">
        <f t="shared" si="51"/>
        <v>0</v>
      </c>
      <c r="M56" s="12">
        <f t="shared" si="52"/>
        <v>0</v>
      </c>
      <c r="N56" s="13">
        <f t="shared" si="53"/>
        <v>0</v>
      </c>
      <c r="O56" s="13">
        <f t="shared" si="54"/>
        <v>0</v>
      </c>
      <c r="P56" s="13">
        <f t="shared" si="55"/>
        <v>0</v>
      </c>
      <c r="Q56" s="13">
        <f t="shared" si="56"/>
        <v>0</v>
      </c>
      <c r="R56" s="13">
        <f t="shared" si="57"/>
        <v>0</v>
      </c>
      <c r="S56" s="13">
        <f t="shared" si="58"/>
        <v>0</v>
      </c>
      <c r="T56" s="13">
        <f t="shared" si="59"/>
        <v>0</v>
      </c>
      <c r="U56" s="13">
        <f t="shared" si="60"/>
        <v>0</v>
      </c>
      <c r="V56" s="13">
        <f t="shared" si="61"/>
        <v>0</v>
      </c>
      <c r="W56" s="14">
        <f t="shared" si="62"/>
        <v>0</v>
      </c>
      <c r="X56" s="154"/>
    </row>
    <row r="57" spans="1:24" s="134" customFormat="1" ht="14.25" customHeight="1" x14ac:dyDescent="0.25">
      <c r="B57" s="293"/>
      <c r="C57" s="294"/>
      <c r="D57" s="295"/>
      <c r="E57" s="295"/>
      <c r="F57" s="296"/>
      <c r="G57" s="295"/>
      <c r="H57" s="297"/>
      <c r="I57" s="8">
        <f t="shared" ca="1" si="49"/>
        <v>0</v>
      </c>
      <c r="J57" s="9" t="str">
        <f t="shared" si="32"/>
        <v>INSERIR DATAS E TOT PARC</v>
      </c>
      <c r="K57" s="10" t="str">
        <f t="shared" si="50"/>
        <v>---</v>
      </c>
      <c r="L57" s="11">
        <f t="shared" si="51"/>
        <v>0</v>
      </c>
      <c r="M57" s="12">
        <f t="shared" si="52"/>
        <v>0</v>
      </c>
      <c r="N57" s="13">
        <f t="shared" si="53"/>
        <v>0</v>
      </c>
      <c r="O57" s="13">
        <f t="shared" si="54"/>
        <v>0</v>
      </c>
      <c r="P57" s="13">
        <f t="shared" si="55"/>
        <v>0</v>
      </c>
      <c r="Q57" s="13">
        <f t="shared" si="56"/>
        <v>0</v>
      </c>
      <c r="R57" s="13">
        <f t="shared" si="57"/>
        <v>0</v>
      </c>
      <c r="S57" s="13">
        <f t="shared" si="58"/>
        <v>0</v>
      </c>
      <c r="T57" s="13">
        <f t="shared" si="59"/>
        <v>0</v>
      </c>
      <c r="U57" s="13">
        <f t="shared" si="60"/>
        <v>0</v>
      </c>
      <c r="V57" s="13">
        <f t="shared" si="61"/>
        <v>0</v>
      </c>
      <c r="W57" s="14">
        <f t="shared" si="62"/>
        <v>0</v>
      </c>
      <c r="X57" s="154"/>
    </row>
    <row r="58" spans="1:24" s="134" customFormat="1" ht="14.25" customHeight="1" x14ac:dyDescent="0.25">
      <c r="B58" s="293"/>
      <c r="C58" s="294"/>
      <c r="D58" s="295"/>
      <c r="E58" s="295"/>
      <c r="F58" s="296"/>
      <c r="G58" s="295"/>
      <c r="H58" s="297"/>
      <c r="I58" s="8">
        <f t="shared" ca="1" si="49"/>
        <v>0</v>
      </c>
      <c r="J58" s="9" t="str">
        <f t="shared" si="32"/>
        <v>INSERIR DATAS E TOT PARC</v>
      </c>
      <c r="K58" s="10" t="str">
        <f t="shared" si="50"/>
        <v>---</v>
      </c>
      <c r="L58" s="11">
        <f t="shared" si="51"/>
        <v>0</v>
      </c>
      <c r="M58" s="12">
        <f t="shared" si="52"/>
        <v>0</v>
      </c>
      <c r="N58" s="13">
        <f t="shared" si="53"/>
        <v>0</v>
      </c>
      <c r="O58" s="13">
        <f t="shared" si="54"/>
        <v>0</v>
      </c>
      <c r="P58" s="13">
        <f t="shared" si="55"/>
        <v>0</v>
      </c>
      <c r="Q58" s="13">
        <f t="shared" si="56"/>
        <v>0</v>
      </c>
      <c r="R58" s="13">
        <f t="shared" si="57"/>
        <v>0</v>
      </c>
      <c r="S58" s="13">
        <f t="shared" si="58"/>
        <v>0</v>
      </c>
      <c r="T58" s="13">
        <f t="shared" si="59"/>
        <v>0</v>
      </c>
      <c r="U58" s="13">
        <f t="shared" si="60"/>
        <v>0</v>
      </c>
      <c r="V58" s="13">
        <f t="shared" si="61"/>
        <v>0</v>
      </c>
      <c r="W58" s="14">
        <f t="shared" si="62"/>
        <v>0</v>
      </c>
      <c r="X58" s="154"/>
    </row>
    <row r="59" spans="1:24" s="134" customFormat="1" ht="14.25" customHeight="1" x14ac:dyDescent="0.25">
      <c r="B59" s="293"/>
      <c r="C59" s="294"/>
      <c r="D59" s="295"/>
      <c r="E59" s="295"/>
      <c r="F59" s="296"/>
      <c r="G59" s="295"/>
      <c r="H59" s="297"/>
      <c r="I59" s="8">
        <f t="shared" ca="1" si="49"/>
        <v>0</v>
      </c>
      <c r="J59" s="9" t="str">
        <f t="shared" si="32"/>
        <v>INSERIR DATAS E TOT PARC</v>
      </c>
      <c r="K59" s="10" t="str">
        <f t="shared" si="50"/>
        <v>---</v>
      </c>
      <c r="L59" s="11">
        <f t="shared" si="51"/>
        <v>0</v>
      </c>
      <c r="M59" s="12">
        <f t="shared" si="52"/>
        <v>0</v>
      </c>
      <c r="N59" s="13">
        <f t="shared" si="53"/>
        <v>0</v>
      </c>
      <c r="O59" s="13">
        <f t="shared" si="54"/>
        <v>0</v>
      </c>
      <c r="P59" s="13">
        <f t="shared" si="55"/>
        <v>0</v>
      </c>
      <c r="Q59" s="13">
        <f t="shared" si="56"/>
        <v>0</v>
      </c>
      <c r="R59" s="13">
        <f t="shared" si="57"/>
        <v>0</v>
      </c>
      <c r="S59" s="13">
        <f t="shared" si="58"/>
        <v>0</v>
      </c>
      <c r="T59" s="13">
        <f t="shared" si="59"/>
        <v>0</v>
      </c>
      <c r="U59" s="13">
        <f t="shared" si="60"/>
        <v>0</v>
      </c>
      <c r="V59" s="13">
        <f t="shared" si="61"/>
        <v>0</v>
      </c>
      <c r="W59" s="14">
        <f t="shared" si="62"/>
        <v>0</v>
      </c>
      <c r="X59" s="154"/>
    </row>
    <row r="60" spans="1:24" s="134" customFormat="1" ht="14.25" customHeight="1" x14ac:dyDescent="0.25">
      <c r="B60" s="293"/>
      <c r="C60" s="294"/>
      <c r="D60" s="295"/>
      <c r="E60" s="295"/>
      <c r="F60" s="296"/>
      <c r="G60" s="295"/>
      <c r="H60" s="297"/>
      <c r="I60" s="8">
        <f t="shared" ca="1" si="49"/>
        <v>0</v>
      </c>
      <c r="J60" s="9" t="str">
        <f t="shared" si="32"/>
        <v>INSERIR DATAS E TOT PARC</v>
      </c>
      <c r="K60" s="10" t="str">
        <f t="shared" si="50"/>
        <v>---</v>
      </c>
      <c r="L60" s="11">
        <f t="shared" si="51"/>
        <v>0</v>
      </c>
      <c r="M60" s="12">
        <f t="shared" si="52"/>
        <v>0</v>
      </c>
      <c r="N60" s="13">
        <f t="shared" si="53"/>
        <v>0</v>
      </c>
      <c r="O60" s="13">
        <f t="shared" si="54"/>
        <v>0</v>
      </c>
      <c r="P60" s="13">
        <f t="shared" si="55"/>
        <v>0</v>
      </c>
      <c r="Q60" s="13">
        <f t="shared" si="56"/>
        <v>0</v>
      </c>
      <c r="R60" s="13">
        <f t="shared" si="57"/>
        <v>0</v>
      </c>
      <c r="S60" s="13">
        <f t="shared" si="58"/>
        <v>0</v>
      </c>
      <c r="T60" s="13">
        <f t="shared" si="59"/>
        <v>0</v>
      </c>
      <c r="U60" s="13">
        <f t="shared" si="60"/>
        <v>0</v>
      </c>
      <c r="V60" s="13">
        <f t="shared" si="61"/>
        <v>0</v>
      </c>
      <c r="W60" s="14">
        <f t="shared" si="62"/>
        <v>0</v>
      </c>
      <c r="X60" s="154"/>
    </row>
    <row r="61" spans="1:24" s="134" customFormat="1" ht="14.25" customHeight="1" x14ac:dyDescent="0.25">
      <c r="B61" s="293"/>
      <c r="C61" s="294"/>
      <c r="D61" s="295"/>
      <c r="E61" s="295"/>
      <c r="F61" s="296"/>
      <c r="G61" s="295"/>
      <c r="H61" s="297"/>
      <c r="I61" s="8">
        <f t="shared" ca="1" si="49"/>
        <v>0</v>
      </c>
      <c r="J61" s="9" t="str">
        <f t="shared" si="32"/>
        <v>INSERIR DATAS E TOT PARC</v>
      </c>
      <c r="K61" s="10" t="str">
        <f t="shared" si="50"/>
        <v>---</v>
      </c>
      <c r="L61" s="11">
        <f t="shared" si="51"/>
        <v>0</v>
      </c>
      <c r="M61" s="12">
        <f t="shared" si="52"/>
        <v>0</v>
      </c>
      <c r="N61" s="13">
        <f t="shared" si="53"/>
        <v>0</v>
      </c>
      <c r="O61" s="13">
        <f t="shared" si="54"/>
        <v>0</v>
      </c>
      <c r="P61" s="13">
        <f t="shared" si="55"/>
        <v>0</v>
      </c>
      <c r="Q61" s="13">
        <f t="shared" si="56"/>
        <v>0</v>
      </c>
      <c r="R61" s="13">
        <f t="shared" si="57"/>
        <v>0</v>
      </c>
      <c r="S61" s="13">
        <f t="shared" si="58"/>
        <v>0</v>
      </c>
      <c r="T61" s="13">
        <f t="shared" si="59"/>
        <v>0</v>
      </c>
      <c r="U61" s="13">
        <f t="shared" si="60"/>
        <v>0</v>
      </c>
      <c r="V61" s="13">
        <f t="shared" si="61"/>
        <v>0</v>
      </c>
      <c r="W61" s="14">
        <f t="shared" si="62"/>
        <v>0</v>
      </c>
      <c r="X61" s="154"/>
    </row>
    <row r="62" spans="1:24" s="134" customFormat="1" ht="14.25" customHeight="1" x14ac:dyDescent="0.25">
      <c r="B62" s="293"/>
      <c r="C62" s="294"/>
      <c r="D62" s="295"/>
      <c r="E62" s="295"/>
      <c r="F62" s="296"/>
      <c r="G62" s="295"/>
      <c r="H62" s="297"/>
      <c r="I62" s="8">
        <f t="shared" ca="1" si="49"/>
        <v>0</v>
      </c>
      <c r="J62" s="9" t="str">
        <f t="shared" si="32"/>
        <v>INSERIR DATAS E TOT PARC</v>
      </c>
      <c r="K62" s="10" t="str">
        <f t="shared" si="50"/>
        <v>---</v>
      </c>
      <c r="L62" s="11">
        <f t="shared" si="51"/>
        <v>0</v>
      </c>
      <c r="M62" s="12">
        <f t="shared" si="52"/>
        <v>0</v>
      </c>
      <c r="N62" s="13">
        <f t="shared" si="53"/>
        <v>0</v>
      </c>
      <c r="O62" s="13">
        <f t="shared" si="54"/>
        <v>0</v>
      </c>
      <c r="P62" s="13">
        <f t="shared" si="55"/>
        <v>0</v>
      </c>
      <c r="Q62" s="13">
        <f t="shared" si="56"/>
        <v>0</v>
      </c>
      <c r="R62" s="13">
        <f t="shared" si="57"/>
        <v>0</v>
      </c>
      <c r="S62" s="13">
        <f t="shared" si="58"/>
        <v>0</v>
      </c>
      <c r="T62" s="13">
        <f t="shared" si="59"/>
        <v>0</v>
      </c>
      <c r="U62" s="13">
        <f t="shared" si="60"/>
        <v>0</v>
      </c>
      <c r="V62" s="13">
        <f t="shared" si="61"/>
        <v>0</v>
      </c>
      <c r="W62" s="14">
        <f t="shared" si="62"/>
        <v>0</v>
      </c>
      <c r="X62" s="154"/>
    </row>
    <row r="63" spans="1:24" ht="14.25" customHeight="1" x14ac:dyDescent="0.25">
      <c r="B63" s="293"/>
      <c r="C63" s="294"/>
      <c r="D63" s="295"/>
      <c r="E63" s="295"/>
      <c r="F63" s="296"/>
      <c r="G63" s="295"/>
      <c r="H63" s="297"/>
      <c r="I63" s="8">
        <f t="shared" ca="1" si="46"/>
        <v>0</v>
      </c>
      <c r="J63" s="9" t="str">
        <f t="shared" si="32"/>
        <v>INSERIR DATAS E TOT PARC</v>
      </c>
      <c r="K63" s="10" t="str">
        <f t="shared" si="47"/>
        <v>---</v>
      </c>
      <c r="L63" s="11">
        <f t="shared" si="48"/>
        <v>0</v>
      </c>
      <c r="M63" s="12">
        <f t="shared" si="35"/>
        <v>0</v>
      </c>
      <c r="N63" s="13">
        <f t="shared" si="36"/>
        <v>0</v>
      </c>
      <c r="O63" s="13">
        <f t="shared" si="37"/>
        <v>0</v>
      </c>
      <c r="P63" s="13">
        <f t="shared" si="38"/>
        <v>0</v>
      </c>
      <c r="Q63" s="13">
        <f t="shared" si="39"/>
        <v>0</v>
      </c>
      <c r="R63" s="13">
        <f t="shared" si="40"/>
        <v>0</v>
      </c>
      <c r="S63" s="13">
        <f t="shared" si="41"/>
        <v>0</v>
      </c>
      <c r="T63" s="13">
        <f t="shared" si="42"/>
        <v>0</v>
      </c>
      <c r="U63" s="13">
        <f t="shared" si="43"/>
        <v>0</v>
      </c>
      <c r="V63" s="13">
        <f t="shared" si="44"/>
        <v>0</v>
      </c>
      <c r="W63" s="14">
        <f t="shared" si="45"/>
        <v>0</v>
      </c>
      <c r="X63" s="154"/>
    </row>
    <row r="64" spans="1:24" s="151" customFormat="1" ht="14.25" customHeight="1" x14ac:dyDescent="0.25">
      <c r="B64" s="293"/>
      <c r="C64" s="294"/>
      <c r="D64" s="295"/>
      <c r="E64" s="295"/>
      <c r="F64" s="296"/>
      <c r="G64" s="295"/>
      <c r="H64" s="297"/>
      <c r="I64" s="8">
        <f t="shared" ref="I64:I74" ca="1" si="63">IF(AND(F64="anual",MONTH(B64)&lt;&gt;$D$2),0,IF(OR(J64=0,J64="TOTALMENTE PAGA"),0,H64))</f>
        <v>0</v>
      </c>
      <c r="J64" s="9" t="str">
        <f t="shared" ref="J64:J74" si="64">IF(OR(G64=0,B64=0,F64=0),"INSERIR DATAS E TOT PARC",IF(OR(F64="mensal",F64="anual"),IF(F64="anual",IF(OR(AND((MONTH(B64)=MONTH($A$2)),(DAY(B64)&gt;DAY($A$2))),AND((MONTH(B64)-1=MONTH($A$2)),(DAY(B64)&lt;=DAY($A$2)))),1,0),1),IF(B64&gt;G64,"DATAS INVALIDAS",IF(OR($A$2&lt;EDATE(G64,-1),$A$2=EDATE(G64,-1)),0,IF(OR($A$2&lt;G64,$A$2=G64),1,IF(DAY($A$2)&lt;5,IF(((YEAR($A$2)-YEAR(G64))*12+(MONTH($A$2)-MONTH(G64)+1))&gt;F64,"TOTALMENTE PAGA",(YEAR($A$2)-YEAR(G64))*12+(MONTH($A$2)-MONTH(G64)+1)),IF(($A$2&gt;K64),"TOTALMENTE PAGA",(YEAR($A$2)-YEAR(G64))*12+(MONTH($A$2)-MONTH(G64)+2))))))))</f>
        <v>INSERIR DATAS E TOT PARC</v>
      </c>
      <c r="K64" s="10" t="str">
        <f t="shared" ref="K64:K74" si="65">IF(OR(F64="anual",F64="mensal",B64=0),"---",EDATE(G64,F64-1))</f>
        <v>---</v>
      </c>
      <c r="L64" s="11">
        <f t="shared" ref="L64:L74" si="66">IF(OR(F64="mensal",F64="anual"),IF(J64=1,H64,0),IF(H64=0,0,IF(J64="TOTALMENTE PAGA",0,(F64-J64)*H64)))</f>
        <v>0</v>
      </c>
      <c r="M64" s="12">
        <f t="shared" ref="M64:M74" si="67">IF(F64="anual",IF(MONTH(B64)=$M$3,H64,0),IF(F64="mensal",I64,IF(K64="---",0,IF($M$2&lt;YEAR(K64),H64,IF($M$2=YEAR(K64),IF(OR($M$3&lt;MONTH(K64),$M$3=MONTH(K64)),H64,0),0)))))</f>
        <v>0</v>
      </c>
      <c r="N64" s="13">
        <f t="shared" ref="N64:N74" si="68">IF(F64="anual",IF(MONTH(B64)=$N$3,H64,0),IF(F64="mensal",I64,IF(K64="---",0,IF($N$2&lt;YEAR(K64),H64,IF($N$2=YEAR(K64),IF(OR($N$3&lt;MONTH(K64),$N$3=MONTH(K64)),H64,0),0)))))</f>
        <v>0</v>
      </c>
      <c r="O64" s="13">
        <f t="shared" ref="O64:O74" si="69">IF(F64="anual",IF(MONTH(B64)=$O$3,H64,0),IF(F64="mensal",I64,IF(K64="---",0,IF($O$2&lt;YEAR(K64),H64,IF($O$2=YEAR(K64),IF(OR($O$3&lt;MONTH(K64),$O$3=MONTH(K64)),H64,0),0)))))</f>
        <v>0</v>
      </c>
      <c r="P64" s="13">
        <f t="shared" ref="P64:P74" si="70">IF(F64="anual",IF(MONTH(B64)=$P$3,H64,0),IF(F64="mensal",I64,IF(K64="---",0,IF($P$2&lt;YEAR(K64),H64,IF($P$2=YEAR(K64),IF(OR($P$3&lt;MONTH(K64),$P$3=MONTH(K64)),H64,0),0)))))</f>
        <v>0</v>
      </c>
      <c r="Q64" s="13">
        <f t="shared" ref="Q64:Q74" si="71">IF(F64="anual",IF(MONTH(B64)=$Q$3,H64,0),IF(F64="mensal",I64,IF(K64="---",0,IF($Q$2&lt;YEAR(K64),H64,IF($Q$2=YEAR(K64),IF(OR($Q$3&lt;MONTH(K64),$Q$3=MONTH(K64)),H64,0),0)))))</f>
        <v>0</v>
      </c>
      <c r="R64" s="13">
        <f t="shared" ref="R64:R74" si="72">IF(F64="anual",IF(MONTH(B64)=$R$3,H64,0),IF(F64="mensal",I64,IF(K64="---",0,IF($R$2&lt;YEAR(K64),H64,IF($R$2=YEAR(K64),IF(OR($R$3&lt;MONTH(K64),$R$3=MONTH(K64)),H64,0),0)))))</f>
        <v>0</v>
      </c>
      <c r="S64" s="13">
        <f t="shared" ref="S64:S74" si="73">IF(F64="anual",IF(MONTH(B64)=$S$3,H64,0),IF(F64="mensal",I64,IF(K64="---",0,IF($S$2&lt;YEAR(K64),H64,IF($S$2=YEAR(K64),IF(OR($S$3&lt;MONTH(K64),$S$3=MONTH(K64)),H64,0),0)))))</f>
        <v>0</v>
      </c>
      <c r="T64" s="13">
        <f t="shared" ref="T64:T74" si="74">IF(F64="anual",IF(MONTH(B64)=$T$3,H64,0),IF(F64="mensal",I64,IF(K64="---",0,IF($T$2&lt;YEAR(K64),H64,IF($T$2=YEAR(K64),IF(OR($T$3&lt;MONTH(K64),$T$3=MONTH(K64)),H64,0),0)))))</f>
        <v>0</v>
      </c>
      <c r="U64" s="13">
        <f t="shared" ref="U64:U74" si="75">IF(F64="anual",IF(MONTH(B64)=$U$3,H64,0),IF(F64="mensal",I64,IF(K64="---",0,IF($U$2&lt;YEAR(K64),H64,IF($U$2=YEAR(K64),IF(OR($U$3&lt;MONTH(K64),$U$3=MONTH(K64)),H64,0),0)))))</f>
        <v>0</v>
      </c>
      <c r="V64" s="13">
        <f t="shared" ref="V64:V74" si="76">IF(F64="anual",IF(MONTH(B64)=$V$3,H64,0),IF(F64="mensal",I64,IF(K64="---",0,IF($V$2&lt;YEAR(K64),H64,IF($V$2=YEAR(K64),IF(OR($V$3&lt;MONTH(K64),$V$3=MONTH(K64)),H64,0),0)))))</f>
        <v>0</v>
      </c>
      <c r="W64" s="14">
        <f t="shared" ref="W64:W74" si="77">IF(F64="anual",IF(MONTH(B64)=$W$3,H64,0),IF(F64="mensal",I64,IF(K64="---",0,IF($W$2&lt;YEAR(K64),H64,IF($W$2=YEAR(K64),IF(OR($W$3&lt;MONTH(K64),$W$3=MONTH(K64)),H64,0),0)))))</f>
        <v>0</v>
      </c>
      <c r="X64" s="154"/>
    </row>
    <row r="65" spans="1:25" s="151" customFormat="1" ht="14.25" customHeight="1" x14ac:dyDescent="0.25">
      <c r="B65" s="293"/>
      <c r="C65" s="294"/>
      <c r="D65" s="295"/>
      <c r="E65" s="295"/>
      <c r="F65" s="296"/>
      <c r="G65" s="295"/>
      <c r="H65" s="297"/>
      <c r="I65" s="8">
        <f t="shared" ca="1" si="63"/>
        <v>0</v>
      </c>
      <c r="J65" s="9" t="str">
        <f t="shared" si="64"/>
        <v>INSERIR DATAS E TOT PARC</v>
      </c>
      <c r="K65" s="10" t="str">
        <f t="shared" si="65"/>
        <v>---</v>
      </c>
      <c r="L65" s="11">
        <f t="shared" si="66"/>
        <v>0</v>
      </c>
      <c r="M65" s="12">
        <f t="shared" si="67"/>
        <v>0</v>
      </c>
      <c r="N65" s="13">
        <f t="shared" si="68"/>
        <v>0</v>
      </c>
      <c r="O65" s="13">
        <f t="shared" si="69"/>
        <v>0</v>
      </c>
      <c r="P65" s="13">
        <f t="shared" si="70"/>
        <v>0</v>
      </c>
      <c r="Q65" s="13">
        <f t="shared" si="71"/>
        <v>0</v>
      </c>
      <c r="R65" s="13">
        <f t="shared" si="72"/>
        <v>0</v>
      </c>
      <c r="S65" s="13">
        <f t="shared" si="73"/>
        <v>0</v>
      </c>
      <c r="T65" s="13">
        <f t="shared" si="74"/>
        <v>0</v>
      </c>
      <c r="U65" s="13">
        <f t="shared" si="75"/>
        <v>0</v>
      </c>
      <c r="V65" s="13">
        <f t="shared" si="76"/>
        <v>0</v>
      </c>
      <c r="W65" s="14">
        <f t="shared" si="77"/>
        <v>0</v>
      </c>
      <c r="X65" s="154"/>
    </row>
    <row r="66" spans="1:25" s="151" customFormat="1" ht="14.25" customHeight="1" x14ac:dyDescent="0.25">
      <c r="B66" s="293"/>
      <c r="C66" s="294"/>
      <c r="D66" s="295"/>
      <c r="E66" s="295"/>
      <c r="F66" s="296"/>
      <c r="G66" s="295"/>
      <c r="H66" s="297"/>
      <c r="I66" s="8">
        <f t="shared" ca="1" si="63"/>
        <v>0</v>
      </c>
      <c r="J66" s="9" t="str">
        <f t="shared" si="64"/>
        <v>INSERIR DATAS E TOT PARC</v>
      </c>
      <c r="K66" s="10" t="str">
        <f t="shared" si="65"/>
        <v>---</v>
      </c>
      <c r="L66" s="11">
        <f t="shared" si="66"/>
        <v>0</v>
      </c>
      <c r="M66" s="12">
        <f t="shared" si="67"/>
        <v>0</v>
      </c>
      <c r="N66" s="13">
        <f t="shared" si="68"/>
        <v>0</v>
      </c>
      <c r="O66" s="13">
        <f t="shared" si="69"/>
        <v>0</v>
      </c>
      <c r="P66" s="13">
        <f t="shared" si="70"/>
        <v>0</v>
      </c>
      <c r="Q66" s="13">
        <f t="shared" si="71"/>
        <v>0</v>
      </c>
      <c r="R66" s="13">
        <f t="shared" si="72"/>
        <v>0</v>
      </c>
      <c r="S66" s="13">
        <f t="shared" si="73"/>
        <v>0</v>
      </c>
      <c r="T66" s="13">
        <f t="shared" si="74"/>
        <v>0</v>
      </c>
      <c r="U66" s="13">
        <f t="shared" si="75"/>
        <v>0</v>
      </c>
      <c r="V66" s="13">
        <f t="shared" si="76"/>
        <v>0</v>
      </c>
      <c r="W66" s="14">
        <f t="shared" si="77"/>
        <v>0</v>
      </c>
      <c r="X66" s="154"/>
    </row>
    <row r="67" spans="1:25" s="151" customFormat="1" ht="14.25" customHeight="1" x14ac:dyDescent="0.25">
      <c r="B67" s="293"/>
      <c r="C67" s="294"/>
      <c r="D67" s="295"/>
      <c r="E67" s="295"/>
      <c r="F67" s="296"/>
      <c r="G67" s="295"/>
      <c r="H67" s="297"/>
      <c r="I67" s="8">
        <f t="shared" ca="1" si="63"/>
        <v>0</v>
      </c>
      <c r="J67" s="9" t="str">
        <f t="shared" si="64"/>
        <v>INSERIR DATAS E TOT PARC</v>
      </c>
      <c r="K67" s="10" t="str">
        <f t="shared" si="65"/>
        <v>---</v>
      </c>
      <c r="L67" s="11">
        <f t="shared" si="66"/>
        <v>0</v>
      </c>
      <c r="M67" s="12">
        <f t="shared" si="67"/>
        <v>0</v>
      </c>
      <c r="N67" s="13">
        <f t="shared" si="68"/>
        <v>0</v>
      </c>
      <c r="O67" s="13">
        <f t="shared" si="69"/>
        <v>0</v>
      </c>
      <c r="P67" s="13">
        <f t="shared" si="70"/>
        <v>0</v>
      </c>
      <c r="Q67" s="13">
        <f t="shared" si="71"/>
        <v>0</v>
      </c>
      <c r="R67" s="13">
        <f t="shared" si="72"/>
        <v>0</v>
      </c>
      <c r="S67" s="13">
        <f t="shared" si="73"/>
        <v>0</v>
      </c>
      <c r="T67" s="13">
        <f t="shared" si="74"/>
        <v>0</v>
      </c>
      <c r="U67" s="13">
        <f t="shared" si="75"/>
        <v>0</v>
      </c>
      <c r="V67" s="13">
        <f t="shared" si="76"/>
        <v>0</v>
      </c>
      <c r="W67" s="14">
        <f t="shared" si="77"/>
        <v>0</v>
      </c>
      <c r="X67" s="154"/>
    </row>
    <row r="68" spans="1:25" s="151" customFormat="1" ht="14.25" customHeight="1" x14ac:dyDescent="0.25">
      <c r="B68" s="293"/>
      <c r="C68" s="294"/>
      <c r="D68" s="295"/>
      <c r="E68" s="295"/>
      <c r="F68" s="296"/>
      <c r="G68" s="295"/>
      <c r="H68" s="297"/>
      <c r="I68" s="8">
        <f t="shared" ca="1" si="63"/>
        <v>0</v>
      </c>
      <c r="J68" s="9" t="str">
        <f t="shared" si="64"/>
        <v>INSERIR DATAS E TOT PARC</v>
      </c>
      <c r="K68" s="10" t="str">
        <f t="shared" si="65"/>
        <v>---</v>
      </c>
      <c r="L68" s="11">
        <f t="shared" si="66"/>
        <v>0</v>
      </c>
      <c r="M68" s="12">
        <f t="shared" si="67"/>
        <v>0</v>
      </c>
      <c r="N68" s="13">
        <f t="shared" si="68"/>
        <v>0</v>
      </c>
      <c r="O68" s="13">
        <f t="shared" si="69"/>
        <v>0</v>
      </c>
      <c r="P68" s="13">
        <f t="shared" si="70"/>
        <v>0</v>
      </c>
      <c r="Q68" s="13">
        <f t="shared" si="71"/>
        <v>0</v>
      </c>
      <c r="R68" s="13">
        <f t="shared" si="72"/>
        <v>0</v>
      </c>
      <c r="S68" s="13">
        <f t="shared" si="73"/>
        <v>0</v>
      </c>
      <c r="T68" s="13">
        <f t="shared" si="74"/>
        <v>0</v>
      </c>
      <c r="U68" s="13">
        <f t="shared" si="75"/>
        <v>0</v>
      </c>
      <c r="V68" s="13">
        <f t="shared" si="76"/>
        <v>0</v>
      </c>
      <c r="W68" s="14">
        <f t="shared" si="77"/>
        <v>0</v>
      </c>
      <c r="X68" s="154"/>
    </row>
    <row r="69" spans="1:25" s="151" customFormat="1" ht="14.25" customHeight="1" x14ac:dyDescent="0.25">
      <c r="B69" s="293"/>
      <c r="C69" s="294"/>
      <c r="D69" s="295"/>
      <c r="E69" s="295"/>
      <c r="F69" s="296"/>
      <c r="G69" s="295"/>
      <c r="H69" s="297"/>
      <c r="I69" s="8">
        <f t="shared" ca="1" si="63"/>
        <v>0</v>
      </c>
      <c r="J69" s="9" t="str">
        <f t="shared" si="64"/>
        <v>INSERIR DATAS E TOT PARC</v>
      </c>
      <c r="K69" s="10" t="str">
        <f t="shared" si="65"/>
        <v>---</v>
      </c>
      <c r="L69" s="11">
        <f t="shared" si="66"/>
        <v>0</v>
      </c>
      <c r="M69" s="12">
        <f t="shared" si="67"/>
        <v>0</v>
      </c>
      <c r="N69" s="13">
        <f t="shared" si="68"/>
        <v>0</v>
      </c>
      <c r="O69" s="13">
        <f t="shared" si="69"/>
        <v>0</v>
      </c>
      <c r="P69" s="13">
        <f t="shared" si="70"/>
        <v>0</v>
      </c>
      <c r="Q69" s="13">
        <f t="shared" si="71"/>
        <v>0</v>
      </c>
      <c r="R69" s="13">
        <f t="shared" si="72"/>
        <v>0</v>
      </c>
      <c r="S69" s="13">
        <f t="shared" si="73"/>
        <v>0</v>
      </c>
      <c r="T69" s="13">
        <f t="shared" si="74"/>
        <v>0</v>
      </c>
      <c r="U69" s="13">
        <f t="shared" si="75"/>
        <v>0</v>
      </c>
      <c r="V69" s="13">
        <f t="shared" si="76"/>
        <v>0</v>
      </c>
      <c r="W69" s="14">
        <f t="shared" si="77"/>
        <v>0</v>
      </c>
      <c r="X69" s="154"/>
    </row>
    <row r="70" spans="1:25" s="151" customFormat="1" ht="14.25" customHeight="1" x14ac:dyDescent="0.25">
      <c r="B70" s="293"/>
      <c r="C70" s="294"/>
      <c r="D70" s="295"/>
      <c r="E70" s="295"/>
      <c r="F70" s="296"/>
      <c r="G70" s="295"/>
      <c r="H70" s="297"/>
      <c r="I70" s="8">
        <f t="shared" ca="1" si="63"/>
        <v>0</v>
      </c>
      <c r="J70" s="9" t="str">
        <f t="shared" si="64"/>
        <v>INSERIR DATAS E TOT PARC</v>
      </c>
      <c r="K70" s="10" t="str">
        <f t="shared" si="65"/>
        <v>---</v>
      </c>
      <c r="L70" s="11">
        <f t="shared" si="66"/>
        <v>0</v>
      </c>
      <c r="M70" s="12">
        <f t="shared" si="67"/>
        <v>0</v>
      </c>
      <c r="N70" s="13">
        <f t="shared" si="68"/>
        <v>0</v>
      </c>
      <c r="O70" s="13">
        <f t="shared" si="69"/>
        <v>0</v>
      </c>
      <c r="P70" s="13">
        <f t="shared" si="70"/>
        <v>0</v>
      </c>
      <c r="Q70" s="13">
        <f t="shared" si="71"/>
        <v>0</v>
      </c>
      <c r="R70" s="13">
        <f t="shared" si="72"/>
        <v>0</v>
      </c>
      <c r="S70" s="13">
        <f t="shared" si="73"/>
        <v>0</v>
      </c>
      <c r="T70" s="13">
        <f t="shared" si="74"/>
        <v>0</v>
      </c>
      <c r="U70" s="13">
        <f t="shared" si="75"/>
        <v>0</v>
      </c>
      <c r="V70" s="13">
        <f t="shared" si="76"/>
        <v>0</v>
      </c>
      <c r="W70" s="14">
        <f t="shared" si="77"/>
        <v>0</v>
      </c>
      <c r="X70" s="154"/>
    </row>
    <row r="71" spans="1:25" s="151" customFormat="1" ht="14.25" customHeight="1" x14ac:dyDescent="0.25">
      <c r="B71" s="293"/>
      <c r="C71" s="294"/>
      <c r="D71" s="295"/>
      <c r="E71" s="295"/>
      <c r="F71" s="296"/>
      <c r="G71" s="295"/>
      <c r="H71" s="297"/>
      <c r="I71" s="8">
        <f t="shared" ca="1" si="63"/>
        <v>0</v>
      </c>
      <c r="J71" s="9" t="str">
        <f t="shared" si="64"/>
        <v>INSERIR DATAS E TOT PARC</v>
      </c>
      <c r="K71" s="10" t="str">
        <f t="shared" si="65"/>
        <v>---</v>
      </c>
      <c r="L71" s="11">
        <f t="shared" si="66"/>
        <v>0</v>
      </c>
      <c r="M71" s="12">
        <f t="shared" si="67"/>
        <v>0</v>
      </c>
      <c r="N71" s="13">
        <f t="shared" si="68"/>
        <v>0</v>
      </c>
      <c r="O71" s="13">
        <f t="shared" si="69"/>
        <v>0</v>
      </c>
      <c r="P71" s="13">
        <f t="shared" si="70"/>
        <v>0</v>
      </c>
      <c r="Q71" s="13">
        <f t="shared" si="71"/>
        <v>0</v>
      </c>
      <c r="R71" s="13">
        <f t="shared" si="72"/>
        <v>0</v>
      </c>
      <c r="S71" s="13">
        <f t="shared" si="73"/>
        <v>0</v>
      </c>
      <c r="T71" s="13">
        <f t="shared" si="74"/>
        <v>0</v>
      </c>
      <c r="U71" s="13">
        <f t="shared" si="75"/>
        <v>0</v>
      </c>
      <c r="V71" s="13">
        <f t="shared" si="76"/>
        <v>0</v>
      </c>
      <c r="W71" s="14">
        <f t="shared" si="77"/>
        <v>0</v>
      </c>
      <c r="X71" s="154"/>
    </row>
    <row r="72" spans="1:25" s="151" customFormat="1" ht="14.25" customHeight="1" x14ac:dyDescent="0.25">
      <c r="B72" s="293"/>
      <c r="C72" s="294"/>
      <c r="D72" s="295"/>
      <c r="E72" s="295"/>
      <c r="F72" s="296"/>
      <c r="G72" s="295"/>
      <c r="H72" s="297"/>
      <c r="I72" s="8">
        <f t="shared" ca="1" si="63"/>
        <v>0</v>
      </c>
      <c r="J72" s="9" t="str">
        <f t="shared" si="64"/>
        <v>INSERIR DATAS E TOT PARC</v>
      </c>
      <c r="K72" s="10" t="str">
        <f t="shared" si="65"/>
        <v>---</v>
      </c>
      <c r="L72" s="11">
        <f t="shared" si="66"/>
        <v>0</v>
      </c>
      <c r="M72" s="12">
        <f t="shared" si="67"/>
        <v>0</v>
      </c>
      <c r="N72" s="13">
        <f t="shared" si="68"/>
        <v>0</v>
      </c>
      <c r="O72" s="13">
        <f t="shared" si="69"/>
        <v>0</v>
      </c>
      <c r="P72" s="13">
        <f t="shared" si="70"/>
        <v>0</v>
      </c>
      <c r="Q72" s="13">
        <f t="shared" si="71"/>
        <v>0</v>
      </c>
      <c r="R72" s="13">
        <f t="shared" si="72"/>
        <v>0</v>
      </c>
      <c r="S72" s="13">
        <f t="shared" si="73"/>
        <v>0</v>
      </c>
      <c r="T72" s="13">
        <f t="shared" si="74"/>
        <v>0</v>
      </c>
      <c r="U72" s="13">
        <f t="shared" si="75"/>
        <v>0</v>
      </c>
      <c r="V72" s="13">
        <f t="shared" si="76"/>
        <v>0</v>
      </c>
      <c r="W72" s="14">
        <f t="shared" si="77"/>
        <v>0</v>
      </c>
      <c r="X72" s="154"/>
    </row>
    <row r="73" spans="1:25" s="151" customFormat="1" ht="14.25" customHeight="1" x14ac:dyDescent="0.25">
      <c r="B73" s="293"/>
      <c r="C73" s="294"/>
      <c r="D73" s="295"/>
      <c r="E73" s="295"/>
      <c r="F73" s="296"/>
      <c r="G73" s="295"/>
      <c r="H73" s="297"/>
      <c r="I73" s="8">
        <f t="shared" ca="1" si="63"/>
        <v>0</v>
      </c>
      <c r="J73" s="9" t="str">
        <f t="shared" si="64"/>
        <v>INSERIR DATAS E TOT PARC</v>
      </c>
      <c r="K73" s="10" t="str">
        <f t="shared" si="65"/>
        <v>---</v>
      </c>
      <c r="L73" s="11">
        <f t="shared" si="66"/>
        <v>0</v>
      </c>
      <c r="M73" s="12">
        <f t="shared" si="67"/>
        <v>0</v>
      </c>
      <c r="N73" s="13">
        <f t="shared" si="68"/>
        <v>0</v>
      </c>
      <c r="O73" s="13">
        <f t="shared" si="69"/>
        <v>0</v>
      </c>
      <c r="P73" s="13">
        <f t="shared" si="70"/>
        <v>0</v>
      </c>
      <c r="Q73" s="13">
        <f t="shared" si="71"/>
        <v>0</v>
      </c>
      <c r="R73" s="13">
        <f t="shared" si="72"/>
        <v>0</v>
      </c>
      <c r="S73" s="13">
        <f t="shared" si="73"/>
        <v>0</v>
      </c>
      <c r="T73" s="13">
        <f t="shared" si="74"/>
        <v>0</v>
      </c>
      <c r="U73" s="13">
        <f t="shared" si="75"/>
        <v>0</v>
      </c>
      <c r="V73" s="13">
        <f t="shared" si="76"/>
        <v>0</v>
      </c>
      <c r="W73" s="14">
        <f t="shared" si="77"/>
        <v>0</v>
      </c>
      <c r="X73" s="154"/>
    </row>
    <row r="74" spans="1:25" s="151" customFormat="1" ht="14.25" customHeight="1" x14ac:dyDescent="0.25">
      <c r="B74" s="293"/>
      <c r="C74" s="294"/>
      <c r="D74" s="295"/>
      <c r="E74" s="295"/>
      <c r="F74" s="296"/>
      <c r="G74" s="295"/>
      <c r="H74" s="297"/>
      <c r="I74" s="8">
        <f t="shared" ca="1" si="63"/>
        <v>0</v>
      </c>
      <c r="J74" s="9" t="str">
        <f t="shared" si="64"/>
        <v>INSERIR DATAS E TOT PARC</v>
      </c>
      <c r="K74" s="10" t="str">
        <f t="shared" si="65"/>
        <v>---</v>
      </c>
      <c r="L74" s="11">
        <f t="shared" si="66"/>
        <v>0</v>
      </c>
      <c r="M74" s="12">
        <f t="shared" si="67"/>
        <v>0</v>
      </c>
      <c r="N74" s="13">
        <f t="shared" si="68"/>
        <v>0</v>
      </c>
      <c r="O74" s="13">
        <f t="shared" si="69"/>
        <v>0</v>
      </c>
      <c r="P74" s="13">
        <f t="shared" si="70"/>
        <v>0</v>
      </c>
      <c r="Q74" s="13">
        <f t="shared" si="71"/>
        <v>0</v>
      </c>
      <c r="R74" s="13">
        <f t="shared" si="72"/>
        <v>0</v>
      </c>
      <c r="S74" s="13">
        <f t="shared" si="73"/>
        <v>0</v>
      </c>
      <c r="T74" s="13">
        <f t="shared" si="74"/>
        <v>0</v>
      </c>
      <c r="U74" s="13">
        <f t="shared" si="75"/>
        <v>0</v>
      </c>
      <c r="V74" s="13">
        <f t="shared" si="76"/>
        <v>0</v>
      </c>
      <c r="W74" s="14">
        <f t="shared" si="77"/>
        <v>0</v>
      </c>
      <c r="X74" s="154"/>
    </row>
    <row r="75" spans="1:25" ht="14.25" customHeight="1" thickBot="1" x14ac:dyDescent="0.3">
      <c r="B75" s="293"/>
      <c r="C75" s="294"/>
      <c r="D75" s="295"/>
      <c r="E75" s="295"/>
      <c r="F75" s="299"/>
      <c r="G75" s="300"/>
      <c r="H75" s="301"/>
      <c r="I75" s="8">
        <f t="shared" ca="1" si="46"/>
        <v>0</v>
      </c>
      <c r="J75" s="9" t="str">
        <f t="shared" si="32"/>
        <v>INSERIR DATAS E TOT PARC</v>
      </c>
      <c r="K75" s="10" t="str">
        <f t="shared" si="47"/>
        <v>---</v>
      </c>
      <c r="L75" s="11">
        <f t="shared" si="48"/>
        <v>0</v>
      </c>
      <c r="M75" s="12">
        <f t="shared" si="35"/>
        <v>0</v>
      </c>
      <c r="N75" s="13">
        <f t="shared" si="36"/>
        <v>0</v>
      </c>
      <c r="O75" s="13">
        <f t="shared" si="37"/>
        <v>0</v>
      </c>
      <c r="P75" s="13">
        <f t="shared" si="38"/>
        <v>0</v>
      </c>
      <c r="Q75" s="13">
        <f t="shared" si="39"/>
        <v>0</v>
      </c>
      <c r="R75" s="13">
        <f t="shared" si="40"/>
        <v>0</v>
      </c>
      <c r="S75" s="13">
        <f t="shared" si="41"/>
        <v>0</v>
      </c>
      <c r="T75" s="13">
        <f t="shared" si="42"/>
        <v>0</v>
      </c>
      <c r="U75" s="13">
        <f t="shared" si="43"/>
        <v>0</v>
      </c>
      <c r="V75" s="13">
        <f t="shared" si="44"/>
        <v>0</v>
      </c>
      <c r="W75" s="14">
        <f t="shared" si="45"/>
        <v>0</v>
      </c>
      <c r="X75" s="154"/>
    </row>
    <row r="76" spans="1:25" ht="14.25" customHeight="1" thickBot="1" x14ac:dyDescent="0.3">
      <c r="B76" s="327" t="s">
        <v>19</v>
      </c>
      <c r="C76" s="328"/>
      <c r="D76" s="329"/>
      <c r="E76" s="129">
        <f>MAX(K48:K75)</f>
        <v>0</v>
      </c>
      <c r="F76" s="330" t="s">
        <v>177</v>
      </c>
      <c r="G76" s="331"/>
      <c r="H76" s="332"/>
      <c r="I76" s="130">
        <f ca="1">IF(OR((J76&lt;$A$2),(J76=$A$2)),IF(($D$2-MONTH(J76))=0,0,IF(AND($D$2-MONTH(J76)=1,DAY(J76)&lt;32,DAY(J76)&gt;4),0,SUM(I48:I75))),"DT PAG &gt; DT HJ")</f>
        <v>0</v>
      </c>
      <c r="J76" s="225">
        <v>44621</v>
      </c>
      <c r="K76" s="19" t="s">
        <v>20</v>
      </c>
      <c r="L76" s="20">
        <f ca="1">SUM(L48:L75)+I76</f>
        <v>0</v>
      </c>
      <c r="M76" s="25">
        <f t="shared" ref="M76:W76" si="78">SUM(M48:M75)</f>
        <v>0</v>
      </c>
      <c r="N76" s="26">
        <f t="shared" si="78"/>
        <v>0</v>
      </c>
      <c r="O76" s="26">
        <f t="shared" si="78"/>
        <v>0</v>
      </c>
      <c r="P76" s="26">
        <f t="shared" si="78"/>
        <v>0</v>
      </c>
      <c r="Q76" s="26">
        <f t="shared" si="78"/>
        <v>0</v>
      </c>
      <c r="R76" s="26">
        <f t="shared" si="78"/>
        <v>0</v>
      </c>
      <c r="S76" s="26">
        <f t="shared" si="78"/>
        <v>0</v>
      </c>
      <c r="T76" s="26">
        <f t="shared" si="78"/>
        <v>0</v>
      </c>
      <c r="U76" s="26">
        <f t="shared" si="78"/>
        <v>0</v>
      </c>
      <c r="V76" s="26">
        <f t="shared" si="78"/>
        <v>0</v>
      </c>
      <c r="W76" s="27">
        <f t="shared" si="78"/>
        <v>0</v>
      </c>
      <c r="X76" s="21">
        <f>SUM(M76:W76)</f>
        <v>0</v>
      </c>
      <c r="Y76" s="76"/>
    </row>
    <row r="77" spans="1:25" ht="14.25" customHeight="1" thickBot="1" x14ac:dyDescent="0.3">
      <c r="B77" s="128"/>
      <c r="C77" s="105"/>
      <c r="D77" s="105"/>
      <c r="E77" s="105"/>
      <c r="F77" s="105"/>
      <c r="G77" s="106"/>
      <c r="H77" s="107"/>
      <c r="I77" s="133"/>
      <c r="J77" s="310" t="s">
        <v>21</v>
      </c>
      <c r="K77" s="107"/>
      <c r="L77" s="311"/>
      <c r="M77" s="155">
        <f ca="1">IFERROR(M76/M$264,0)</f>
        <v>0</v>
      </c>
      <c r="N77" s="156">
        <f t="shared" ref="N77:W77" ca="1" si="79">IFERROR(N76/N$264,0)</f>
        <v>0</v>
      </c>
      <c r="O77" s="156">
        <f t="shared" ca="1" si="79"/>
        <v>0</v>
      </c>
      <c r="P77" s="156">
        <f t="shared" ca="1" si="79"/>
        <v>0</v>
      </c>
      <c r="Q77" s="156">
        <f t="shared" ca="1" si="79"/>
        <v>0</v>
      </c>
      <c r="R77" s="156">
        <f t="shared" ca="1" si="79"/>
        <v>0</v>
      </c>
      <c r="S77" s="156">
        <f t="shared" ca="1" si="79"/>
        <v>0</v>
      </c>
      <c r="T77" s="156">
        <f t="shared" ca="1" si="79"/>
        <v>0</v>
      </c>
      <c r="U77" s="156">
        <f t="shared" ca="1" si="79"/>
        <v>0</v>
      </c>
      <c r="V77" s="156">
        <f t="shared" ca="1" si="79"/>
        <v>0</v>
      </c>
      <c r="W77" s="157">
        <f t="shared" ca="1" si="79"/>
        <v>0</v>
      </c>
      <c r="X77" s="154"/>
    </row>
    <row r="78" spans="1:25" ht="14.25" customHeight="1" thickBot="1" x14ac:dyDescent="0.3">
      <c r="A78" s="75"/>
      <c r="B78" s="350" t="s">
        <v>173</v>
      </c>
      <c r="C78" s="351"/>
      <c r="D78" s="351"/>
      <c r="E78" s="351"/>
      <c r="F78" s="351"/>
      <c r="G78" s="351"/>
      <c r="H78" s="351"/>
      <c r="I78" s="352"/>
      <c r="J78" s="353"/>
      <c r="K78" s="353"/>
      <c r="L78" s="354"/>
      <c r="M78" s="348" t="str">
        <f>B78</f>
        <v>CARTÃO-03 | FINAL:XXXX</v>
      </c>
      <c r="N78" s="348"/>
      <c r="O78" s="348"/>
      <c r="P78" s="348"/>
      <c r="Q78" s="348"/>
      <c r="R78" s="348"/>
      <c r="S78" s="348"/>
      <c r="T78" s="348"/>
      <c r="U78" s="348"/>
      <c r="V78" s="348"/>
      <c r="W78" s="349"/>
      <c r="X78" s="154"/>
    </row>
    <row r="79" spans="1:25" ht="14.25" customHeight="1" x14ac:dyDescent="0.25">
      <c r="A79" s="75"/>
      <c r="B79" s="287"/>
      <c r="C79" s="288"/>
      <c r="D79" s="289"/>
      <c r="E79" s="289"/>
      <c r="F79" s="290"/>
      <c r="G79" s="291"/>
      <c r="H79" s="292"/>
      <c r="I79" s="312">
        <f t="shared" ref="I79" ca="1" si="80">IF(AND(F79="anual",MONTH(B79)&lt;&gt;$D$2),0,IF(OR(J79=0,J79="TOTALMENTE PAGA"),0,H79))</f>
        <v>0</v>
      </c>
      <c r="J79" s="313" t="str">
        <f t="shared" ref="J79:J81" si="81">IF(OR(G79=0,B79=0,F79=0),"INSERIR DATAS E TOT PARC",IF(OR(F79="mensal",F79="anual"),IF(F79="anual",IF(OR(AND((MONTH(B79)=MONTH($A$2)),(DAY(B79)&gt;DAY($A$2))),AND((MONTH(B79)-1=MONTH($A$2)),(DAY(B79)&lt;=DAY($A$2)))),1,0),1),IF(B79&gt;G79,"DATAS INVALIDAS",IF(OR($A$2&lt;EDATE(G79,-1),$A$2=EDATE(G79,-1)),0,IF(OR($A$2&lt;G79,$A$2=G79),1,IF(DAY($A$2)&lt;5,IF(((YEAR($A$2)-YEAR(G79))*12+(MONTH($A$2)-MONTH(G79)+1))&gt;F79,"TOTALMENTE PAGA",(YEAR($A$2)-YEAR(G79))*12+(MONTH($A$2)-MONTH(G79)+1)),IF(($A$2&gt;K79),"TOTALMENTE PAGA",(YEAR($A$2)-YEAR(G79))*12+(MONTH($A$2)-MONTH(G79)+2))))))))</f>
        <v>INSERIR DATAS E TOT PARC</v>
      </c>
      <c r="K79" s="10" t="str">
        <f t="shared" ref="K79" si="82">IF(OR(F79="anual",F79="mensal",B79=0),"---",EDATE(G79,F79-1))</f>
        <v>---</v>
      </c>
      <c r="L79" s="314">
        <f t="shared" ref="L79" si="83">IF(OR(F79="mensal",F79="anual"),IF(J79=1,H79,0),IF(H79=0,0,IF(J79="TOTALMENTE PAGA",0,(F79-J79)*H79)))</f>
        <v>0</v>
      </c>
      <c r="M79" s="12">
        <f>IF(F79="anual",IF(MONTH(B79)=$M$3,H79,0),IF(F79="mensal",I79,IF(K79="---",0,IF($M$2&lt;YEAR(K79),H79,IF($M$2=YEAR(K79),IF(OR($M$3&lt;MONTH(K79),$M$3=MONTH(K79)),H79,0),0)))))</f>
        <v>0</v>
      </c>
      <c r="N79" s="13">
        <f>IF(F79="anual",IF(MONTH(B79)=$N$3,H79,0),IF(F79="mensal",I79,IF(K79="---",0,IF($N$2&lt;YEAR(K79),H79,IF($N$2=YEAR(K79),IF(OR($N$3&lt;MONTH(K79),$N$3=MONTH(K79)),H79,0),0)))))</f>
        <v>0</v>
      </c>
      <c r="O79" s="13">
        <f>IF(F79="anual",IF(MONTH(B79)=$O$3,H79,0),IF(F79="mensal",I79,IF(K79="---",0,IF($O$2&lt;YEAR(K79),H79,IF($O$2=YEAR(K79),IF(OR($O$3&lt;MONTH(K79),$O$3=MONTH(K79)),H79,0),0)))))</f>
        <v>0</v>
      </c>
      <c r="P79" s="13">
        <f>IF(F79="anual",IF(MONTH(B79)=$P$3,H79,0),IF(F79="mensal",I79,IF(K79="---",0,IF($P$2&lt;YEAR(K79),H79,IF($P$2=YEAR(K79),IF(OR($P$3&lt;MONTH(K79),$P$3=MONTH(K79)),H79,0),0)))))</f>
        <v>0</v>
      </c>
      <c r="Q79" s="13">
        <f>IF(F79="anual",IF(MONTH(B79)=$Q$3,H79,0),IF(F79="mensal",I79,IF(K79="---",0,IF($Q$2&lt;YEAR(K79),H79,IF($Q$2=YEAR(K79),IF(OR($Q$3&lt;MONTH(K79),$Q$3=MONTH(K79)),H79,0),0)))))</f>
        <v>0</v>
      </c>
      <c r="R79" s="13">
        <f>IF(F79="anual",IF(MONTH(B79)=$R$3,H79,0),IF(F79="mensal",I79,IF(K79="---",0,IF($R$2&lt;YEAR(K79),H79,IF($R$2=YEAR(K79),IF(OR($R$3&lt;MONTH(K79),$R$3=MONTH(K79)),H79,0),0)))))</f>
        <v>0</v>
      </c>
      <c r="S79" s="13">
        <f>IF(F79="anual",IF(MONTH(B79)=$S$3,H79,0),IF(F79="mensal",I79,IF(K79="---",0,IF($S$2&lt;YEAR(K79),H79,IF($S$2=YEAR(K79),IF(OR($S$3&lt;MONTH(K79),$S$3=MONTH(K79)),H79,0),0)))))</f>
        <v>0</v>
      </c>
      <c r="T79" s="13">
        <f>IF(F79="anual",IF(MONTH(B79)=$T$3,H79,0),IF(F79="mensal",I79,IF(K79="---",0,IF($T$2&lt;YEAR(K79),H79,IF($T$2=YEAR(K79),IF(OR($T$3&lt;MONTH(K79),$T$3=MONTH(K79)),H79,0),0)))))</f>
        <v>0</v>
      </c>
      <c r="U79" s="13">
        <f>IF(F79="anual",IF(MONTH(B79)=$U$3,H79,0),IF(F79="mensal",I79,IF(K79="---",0,IF($U$2&lt;YEAR(K79),H79,IF($U$2=YEAR(K79),IF(OR($U$3&lt;MONTH(K79),$U$3=MONTH(K79)),H79,0),0)))))</f>
        <v>0</v>
      </c>
      <c r="V79" s="13">
        <f>IF(F79="anual",IF(MONTH(B79)=$V$3,H79,0),IF(F79="mensal",I79,IF(K79="---",0,IF($V$2&lt;YEAR(K79),H79,IF($V$2=YEAR(K79),IF(OR($V$3&lt;MONTH(K79),$V$3=MONTH(K79)),H79,0),0)))))</f>
        <v>0</v>
      </c>
      <c r="W79" s="14">
        <f>IF(F79="anual",IF(MONTH(B79)=$W$3,H79,0),IF(F79="mensal",I79,IF(K79="---",0,IF($W$2&lt;YEAR(K79),H79,IF($W$2=YEAR(K79),IF(OR($W$3&lt;MONTH(K79),$W$3=MONTH(K79)),H79,0),0)))))</f>
        <v>0</v>
      </c>
      <c r="X79" s="154"/>
    </row>
    <row r="80" spans="1:25" ht="14.25" customHeight="1" x14ac:dyDescent="0.25">
      <c r="A80" s="75"/>
      <c r="B80" s="287"/>
      <c r="C80" s="288"/>
      <c r="D80" s="289"/>
      <c r="E80" s="289"/>
      <c r="F80" s="290"/>
      <c r="G80" s="291"/>
      <c r="H80" s="292"/>
      <c r="I80" s="8">
        <f t="shared" ref="I80:I86" ca="1" si="84">IF(AND(F80="anual",MONTH(B80)&lt;&gt;$D$2),0,IF(OR(J80=0,J80="TOTALMENTE PAGA"),0,H80))</f>
        <v>0</v>
      </c>
      <c r="J80" s="9" t="str">
        <f t="shared" si="81"/>
        <v>INSERIR DATAS E TOT PARC</v>
      </c>
      <c r="K80" s="10" t="str">
        <f t="shared" ref="K80:K86" si="85">IF(OR(F80="anual",F80="mensal",B80=0),"---",EDATE(G80,F80-1))</f>
        <v>---</v>
      </c>
      <c r="L80" s="11">
        <f t="shared" ref="L80:L86" si="86">IF(OR(F80="mensal",F80="anual"),IF(J80=1,H80,0),IF(H80=0,0,IF(J80="TOTALMENTE PAGA",0,(F80-J80)*H80)))</f>
        <v>0</v>
      </c>
      <c r="M80" s="12">
        <f t="shared" ref="M80:M86" si="87">IF(F80="anual",IF(MONTH(B80)=$M$3,H80,0),IF(F80="mensal",I80,IF(K80="---",0,IF($M$2&lt;YEAR(K80),H80,IF($M$2=YEAR(K80),IF(OR($M$3&lt;MONTH(K80),$M$3=MONTH(K80)),H80,0),0)))))</f>
        <v>0</v>
      </c>
      <c r="N80" s="13">
        <f t="shared" ref="N80:N86" si="88">IF(F80="anual",IF(MONTH(B80)=$N$3,H80,0),IF(F80="mensal",I80,IF(K80="---",0,IF($N$2&lt;YEAR(K80),H80,IF($N$2=YEAR(K80),IF(OR($N$3&lt;MONTH(K80),$N$3=MONTH(K80)),H80,0),0)))))</f>
        <v>0</v>
      </c>
      <c r="O80" s="13">
        <f t="shared" ref="O80:O86" si="89">IF(F80="anual",IF(MONTH(B80)=$O$3,H80,0),IF(F80="mensal",I80,IF(K80="---",0,IF($O$2&lt;YEAR(K80),H80,IF($O$2=YEAR(K80),IF(OR($O$3&lt;MONTH(K80),$O$3=MONTH(K80)),H80,0),0)))))</f>
        <v>0</v>
      </c>
      <c r="P80" s="13">
        <f t="shared" ref="P80:P86" si="90">IF(F80="anual",IF(MONTH(B80)=$P$3,H80,0),IF(F80="mensal",I80,IF(K80="---",0,IF($P$2&lt;YEAR(K80),H80,IF($P$2=YEAR(K80),IF(OR($P$3&lt;MONTH(K80),$P$3=MONTH(K80)),H80,0),0)))))</f>
        <v>0</v>
      </c>
      <c r="Q80" s="13">
        <f t="shared" ref="Q80:Q86" si="91">IF(F80="anual",IF(MONTH(B80)=$Q$3,H80,0),IF(F80="mensal",I80,IF(K80="---",0,IF($Q$2&lt;YEAR(K80),H80,IF($Q$2=YEAR(K80),IF(OR($Q$3&lt;MONTH(K80),$Q$3=MONTH(K80)),H80,0),0)))))</f>
        <v>0</v>
      </c>
      <c r="R80" s="13">
        <f t="shared" ref="R80:R86" si="92">IF(F80="anual",IF(MONTH(B80)=$R$3,H80,0),IF(F80="mensal",I80,IF(K80="---",0,IF($R$2&lt;YEAR(K80),H80,IF($R$2=YEAR(K80),IF(OR($R$3&lt;MONTH(K80),$R$3=MONTH(K80)),H80,0),0)))))</f>
        <v>0</v>
      </c>
      <c r="S80" s="13">
        <f t="shared" ref="S80:S86" si="93">IF(F80="anual",IF(MONTH(B80)=$S$3,H80,0),IF(F80="mensal",I80,IF(K80="---",0,IF($S$2&lt;YEAR(K80),H80,IF($S$2=YEAR(K80),IF(OR($S$3&lt;MONTH(K80),$S$3=MONTH(K80)),H80,0),0)))))</f>
        <v>0</v>
      </c>
      <c r="T80" s="13">
        <f t="shared" ref="T80:T86" si="94">IF(F80="anual",IF(MONTH(B80)=$T$3,H80,0),IF(F80="mensal",I80,IF(K80="---",0,IF($T$2&lt;YEAR(K80),H80,IF($T$2=YEAR(K80),IF(OR($T$3&lt;MONTH(K80),$T$3=MONTH(K80)),H80,0),0)))))</f>
        <v>0</v>
      </c>
      <c r="U80" s="13">
        <f t="shared" ref="U80:U86" si="95">IF(F80="anual",IF(MONTH(B80)=$U$3,H80,0),IF(F80="mensal",I80,IF(K80="---",0,IF($U$2&lt;YEAR(K80),H80,IF($U$2=YEAR(K80),IF(OR($U$3&lt;MONTH(K80),$U$3=MONTH(K80)),H80,0),0)))))</f>
        <v>0</v>
      </c>
      <c r="V80" s="13">
        <f t="shared" ref="V80:V86" si="96">IF(F80="anual",IF(MONTH(B80)=$V$3,H80,0),IF(F80="mensal",I80,IF(K80="---",0,IF($V$2&lt;YEAR(K80),H80,IF($V$2=YEAR(K80),IF(OR($V$3&lt;MONTH(K80),$V$3=MONTH(K80)),H80,0),0)))))</f>
        <v>0</v>
      </c>
      <c r="W80" s="14">
        <f t="shared" ref="W80:W86" si="97">IF(F80="anual",IF(MONTH(B80)=$W$3,H80,0),IF(F80="mensal",I80,IF(K80="---",0,IF($W$2&lt;YEAR(K80),H80,IF($W$2=YEAR(K80),IF(OR($W$3&lt;MONTH(K80),$W$3=MONTH(K80)),H80,0),0)))))</f>
        <v>0</v>
      </c>
      <c r="X80" s="154"/>
    </row>
    <row r="81" spans="1:24" ht="14.25" customHeight="1" x14ac:dyDescent="0.25">
      <c r="A81" s="72"/>
      <c r="B81" s="287"/>
      <c r="C81" s="288"/>
      <c r="D81" s="289"/>
      <c r="E81" s="289"/>
      <c r="F81" s="290"/>
      <c r="G81" s="291"/>
      <c r="H81" s="292"/>
      <c r="I81" s="8">
        <f t="shared" ca="1" si="84"/>
        <v>0</v>
      </c>
      <c r="J81" s="9" t="str">
        <f t="shared" si="81"/>
        <v>INSERIR DATAS E TOT PARC</v>
      </c>
      <c r="K81" s="10" t="str">
        <f t="shared" si="85"/>
        <v>---</v>
      </c>
      <c r="L81" s="11">
        <f t="shared" si="86"/>
        <v>0</v>
      </c>
      <c r="M81" s="12">
        <f t="shared" si="87"/>
        <v>0</v>
      </c>
      <c r="N81" s="13">
        <f t="shared" si="88"/>
        <v>0</v>
      </c>
      <c r="O81" s="13">
        <f t="shared" si="89"/>
        <v>0</v>
      </c>
      <c r="P81" s="13">
        <f t="shared" si="90"/>
        <v>0</v>
      </c>
      <c r="Q81" s="13">
        <f t="shared" si="91"/>
        <v>0</v>
      </c>
      <c r="R81" s="13">
        <f t="shared" si="92"/>
        <v>0</v>
      </c>
      <c r="S81" s="13">
        <f t="shared" si="93"/>
        <v>0</v>
      </c>
      <c r="T81" s="13">
        <f t="shared" si="94"/>
        <v>0</v>
      </c>
      <c r="U81" s="13">
        <f t="shared" si="95"/>
        <v>0</v>
      </c>
      <c r="V81" s="13">
        <f t="shared" si="96"/>
        <v>0</v>
      </c>
      <c r="W81" s="14">
        <f t="shared" si="97"/>
        <v>0</v>
      </c>
      <c r="X81" s="154"/>
    </row>
    <row r="82" spans="1:24" ht="14.25" customHeight="1" x14ac:dyDescent="0.25">
      <c r="A82" s="72"/>
      <c r="B82" s="287"/>
      <c r="C82" s="288"/>
      <c r="D82" s="289"/>
      <c r="E82" s="289"/>
      <c r="F82" s="290"/>
      <c r="G82" s="291"/>
      <c r="H82" s="292"/>
      <c r="I82" s="8">
        <f ca="1">IF(AND(F82="anual",MONTH(B82)&lt;&gt;$D$2),0,IF(OR(J82=0,J82="TOTALMENTE PAGA"),0,H82))</f>
        <v>0</v>
      </c>
      <c r="J82" s="9" t="str">
        <f>IF(OR(G82=0,B82=0,F82=0),"INSERIR DATAS E TOT PARC",IF(OR(F82="mensal",F82="anual"),IF(F82="anual",IF(OR(AND((MONTH(B82)=MONTH($A$2)),(DAY(B82)&gt;DAY($A$2))),AND((MONTH(B82)-1=MONTH($A$2)),(DAY(B82)&lt;=DAY($A$2)))),1,0),1),IF(B82&gt;G82,"DATAS INVALIDAS",IF(OR($A$2&lt;EDATE(G82,-1),$A$2=EDATE(G82,-1)),0,IF(OR($A$2&lt;G82,$A$2=G82),1,IF(DAY($A$2)&lt;5,IF(((YEAR($A$2)-YEAR(G82))*12+(MONTH($A$2)-MONTH(G82)+1))&gt;F82,"TOTALMENTE PAGA",(YEAR($A$2)-YEAR(G82))*12+(MONTH($A$2)-MONTH(G82)+1)),IF(($A$2&gt;K82),"TOTALMENTE PAGA",(YEAR($A$2)-YEAR(G82))*12+(MONTH($A$2)-MONTH(G82)+2))))))))</f>
        <v>INSERIR DATAS E TOT PARC</v>
      </c>
      <c r="K82" s="10" t="str">
        <f t="shared" si="85"/>
        <v>---</v>
      </c>
      <c r="L82" s="11">
        <f t="shared" si="86"/>
        <v>0</v>
      </c>
      <c r="M82" s="12">
        <f t="shared" si="87"/>
        <v>0</v>
      </c>
      <c r="N82" s="13">
        <f t="shared" si="88"/>
        <v>0</v>
      </c>
      <c r="O82" s="13">
        <f t="shared" si="89"/>
        <v>0</v>
      </c>
      <c r="P82" s="13">
        <f t="shared" si="90"/>
        <v>0</v>
      </c>
      <c r="Q82" s="13">
        <f t="shared" si="91"/>
        <v>0</v>
      </c>
      <c r="R82" s="13">
        <f t="shared" si="92"/>
        <v>0</v>
      </c>
      <c r="S82" s="13">
        <f t="shared" si="93"/>
        <v>0</v>
      </c>
      <c r="T82" s="13">
        <f t="shared" si="94"/>
        <v>0</v>
      </c>
      <c r="U82" s="13">
        <f t="shared" si="95"/>
        <v>0</v>
      </c>
      <c r="V82" s="13">
        <f t="shared" si="96"/>
        <v>0</v>
      </c>
      <c r="W82" s="14">
        <f t="shared" si="97"/>
        <v>0</v>
      </c>
      <c r="X82" s="154"/>
    </row>
    <row r="83" spans="1:24" ht="14.25" customHeight="1" x14ac:dyDescent="0.25">
      <c r="A83" s="72"/>
      <c r="B83" s="287"/>
      <c r="C83" s="288"/>
      <c r="D83" s="289"/>
      <c r="E83" s="289"/>
      <c r="F83" s="290"/>
      <c r="G83" s="291"/>
      <c r="H83" s="292"/>
      <c r="I83" s="8">
        <f t="shared" ca="1" si="84"/>
        <v>0</v>
      </c>
      <c r="J83" s="9" t="str">
        <f t="shared" ref="J83:J86" si="98">IF(OR(G83=0,B83=0,F83=0),"INSERIR DATAS E TOT PARC",IF(OR(F83="mensal",F83="anual"),IF(F83="anual",IF(OR(AND((MONTH(B83)=MONTH($A$2)),(DAY(B83)&gt;DAY($A$2))),AND((MONTH(B83)-1=MONTH($A$2)),(DAY(B83)&lt;=DAY($A$2)))),1,0),1),IF(B83&gt;G83,"DATAS INVALIDAS",IF(OR($A$2&lt;EDATE(G83,-1),$A$2=EDATE(G83,-1)),0,IF(OR($A$2&lt;G83,$A$2=G83),1,IF(DAY($A$2)&lt;5,IF(((YEAR($A$2)-YEAR(G83))*12+(MONTH($A$2)-MONTH(G83)+1))&gt;F83,"TOTALMENTE PAGA",(YEAR($A$2)-YEAR(G83))*12+(MONTH($A$2)-MONTH(G83)+1)),IF(($A$2&gt;K83),"TOTALMENTE PAGA",(YEAR($A$2)-YEAR(G83))*12+(MONTH($A$2)-MONTH(G83)+2))))))))</f>
        <v>INSERIR DATAS E TOT PARC</v>
      </c>
      <c r="K83" s="10" t="str">
        <f t="shared" si="85"/>
        <v>---</v>
      </c>
      <c r="L83" s="11">
        <f t="shared" si="86"/>
        <v>0</v>
      </c>
      <c r="M83" s="12">
        <f t="shared" si="87"/>
        <v>0</v>
      </c>
      <c r="N83" s="13">
        <f t="shared" si="88"/>
        <v>0</v>
      </c>
      <c r="O83" s="13">
        <f t="shared" si="89"/>
        <v>0</v>
      </c>
      <c r="P83" s="13">
        <f t="shared" si="90"/>
        <v>0</v>
      </c>
      <c r="Q83" s="13">
        <f t="shared" si="91"/>
        <v>0</v>
      </c>
      <c r="R83" s="13">
        <f t="shared" si="92"/>
        <v>0</v>
      </c>
      <c r="S83" s="13">
        <f t="shared" si="93"/>
        <v>0</v>
      </c>
      <c r="T83" s="13">
        <f t="shared" si="94"/>
        <v>0</v>
      </c>
      <c r="U83" s="13">
        <f t="shared" si="95"/>
        <v>0</v>
      </c>
      <c r="V83" s="13">
        <f t="shared" si="96"/>
        <v>0</v>
      </c>
      <c r="W83" s="14">
        <f t="shared" si="97"/>
        <v>0</v>
      </c>
      <c r="X83" s="154"/>
    </row>
    <row r="84" spans="1:24" ht="14.25" customHeight="1" x14ac:dyDescent="0.25">
      <c r="B84" s="287"/>
      <c r="C84" s="288"/>
      <c r="D84" s="289"/>
      <c r="E84" s="289"/>
      <c r="F84" s="290"/>
      <c r="G84" s="291"/>
      <c r="H84" s="292"/>
      <c r="I84" s="8">
        <f t="shared" ca="1" si="84"/>
        <v>0</v>
      </c>
      <c r="J84" s="9" t="str">
        <f t="shared" si="98"/>
        <v>INSERIR DATAS E TOT PARC</v>
      </c>
      <c r="K84" s="10" t="str">
        <f t="shared" si="85"/>
        <v>---</v>
      </c>
      <c r="L84" s="11">
        <f t="shared" si="86"/>
        <v>0</v>
      </c>
      <c r="M84" s="12">
        <f t="shared" si="87"/>
        <v>0</v>
      </c>
      <c r="N84" s="13">
        <f t="shared" si="88"/>
        <v>0</v>
      </c>
      <c r="O84" s="13">
        <f t="shared" si="89"/>
        <v>0</v>
      </c>
      <c r="P84" s="13">
        <f t="shared" si="90"/>
        <v>0</v>
      </c>
      <c r="Q84" s="13">
        <f t="shared" si="91"/>
        <v>0</v>
      </c>
      <c r="R84" s="13">
        <f t="shared" si="92"/>
        <v>0</v>
      </c>
      <c r="S84" s="13">
        <f t="shared" si="93"/>
        <v>0</v>
      </c>
      <c r="T84" s="13">
        <f t="shared" si="94"/>
        <v>0</v>
      </c>
      <c r="U84" s="13">
        <f t="shared" si="95"/>
        <v>0</v>
      </c>
      <c r="V84" s="13">
        <f t="shared" si="96"/>
        <v>0</v>
      </c>
      <c r="W84" s="14">
        <f t="shared" si="97"/>
        <v>0</v>
      </c>
      <c r="X84" s="154"/>
    </row>
    <row r="85" spans="1:24" ht="14.25" customHeight="1" x14ac:dyDescent="0.25">
      <c r="B85" s="287"/>
      <c r="C85" s="288"/>
      <c r="D85" s="289"/>
      <c r="E85" s="289"/>
      <c r="F85" s="290"/>
      <c r="G85" s="291"/>
      <c r="H85" s="292"/>
      <c r="I85" s="8">
        <f t="shared" ca="1" si="84"/>
        <v>0</v>
      </c>
      <c r="J85" s="9" t="str">
        <f t="shared" si="98"/>
        <v>INSERIR DATAS E TOT PARC</v>
      </c>
      <c r="K85" s="10" t="str">
        <f t="shared" si="85"/>
        <v>---</v>
      </c>
      <c r="L85" s="11">
        <f t="shared" si="86"/>
        <v>0</v>
      </c>
      <c r="M85" s="12">
        <f t="shared" si="87"/>
        <v>0</v>
      </c>
      <c r="N85" s="13">
        <f t="shared" si="88"/>
        <v>0</v>
      </c>
      <c r="O85" s="13">
        <f t="shared" si="89"/>
        <v>0</v>
      </c>
      <c r="P85" s="13">
        <f t="shared" si="90"/>
        <v>0</v>
      </c>
      <c r="Q85" s="13">
        <f t="shared" si="91"/>
        <v>0</v>
      </c>
      <c r="R85" s="13">
        <f t="shared" si="92"/>
        <v>0</v>
      </c>
      <c r="S85" s="13">
        <f t="shared" si="93"/>
        <v>0</v>
      </c>
      <c r="T85" s="13">
        <f t="shared" si="94"/>
        <v>0</v>
      </c>
      <c r="U85" s="13">
        <f t="shared" si="95"/>
        <v>0</v>
      </c>
      <c r="V85" s="13">
        <f t="shared" si="96"/>
        <v>0</v>
      </c>
      <c r="W85" s="14">
        <f t="shared" si="97"/>
        <v>0</v>
      </c>
      <c r="X85" s="154"/>
    </row>
    <row r="86" spans="1:24" ht="14.25" customHeight="1" x14ac:dyDescent="0.25">
      <c r="B86" s="287"/>
      <c r="C86" s="288"/>
      <c r="D86" s="289"/>
      <c r="E86" s="289"/>
      <c r="F86" s="290"/>
      <c r="G86" s="291"/>
      <c r="H86" s="292"/>
      <c r="I86" s="8">
        <f t="shared" ca="1" si="84"/>
        <v>0</v>
      </c>
      <c r="J86" s="9" t="str">
        <f t="shared" si="98"/>
        <v>INSERIR DATAS E TOT PARC</v>
      </c>
      <c r="K86" s="10" t="str">
        <f t="shared" si="85"/>
        <v>---</v>
      </c>
      <c r="L86" s="11">
        <f t="shared" si="86"/>
        <v>0</v>
      </c>
      <c r="M86" s="12">
        <f t="shared" si="87"/>
        <v>0</v>
      </c>
      <c r="N86" s="13">
        <f t="shared" si="88"/>
        <v>0</v>
      </c>
      <c r="O86" s="13">
        <f t="shared" si="89"/>
        <v>0</v>
      </c>
      <c r="P86" s="13">
        <f t="shared" si="90"/>
        <v>0</v>
      </c>
      <c r="Q86" s="13">
        <f t="shared" si="91"/>
        <v>0</v>
      </c>
      <c r="R86" s="13">
        <f t="shared" si="92"/>
        <v>0</v>
      </c>
      <c r="S86" s="13">
        <f t="shared" si="93"/>
        <v>0</v>
      </c>
      <c r="T86" s="13">
        <f t="shared" si="94"/>
        <v>0</v>
      </c>
      <c r="U86" s="13">
        <f t="shared" si="95"/>
        <v>0</v>
      </c>
      <c r="V86" s="13">
        <f t="shared" si="96"/>
        <v>0</v>
      </c>
      <c r="W86" s="14">
        <f t="shared" si="97"/>
        <v>0</v>
      </c>
      <c r="X86" s="154"/>
    </row>
    <row r="87" spans="1:24" s="139" customFormat="1" ht="14.25" customHeight="1" x14ac:dyDescent="0.25">
      <c r="B87" s="287"/>
      <c r="C87" s="288"/>
      <c r="D87" s="289"/>
      <c r="E87" s="289"/>
      <c r="F87" s="290"/>
      <c r="G87" s="291"/>
      <c r="H87" s="292"/>
      <c r="I87" s="8">
        <f t="shared" ref="I87:I104" ca="1" si="99">IF(AND(F87="anual",MONTH(B87)&lt;&gt;$D$2),0,IF(OR(J87=0,J87="TOTALMENTE PAGA"),0,H87))</f>
        <v>0</v>
      </c>
      <c r="J87" s="9" t="str">
        <f t="shared" ref="J87:J104" si="100">IF(OR(G87=0,B87=0,F87=0),"INSERIR DATAS E TOT PARC",IF(OR(F87="mensal",F87="anual"),IF(F87="anual",IF(OR(AND((MONTH(B87)=MONTH($A$2)),(DAY(B87)&gt;DAY($A$2))),AND((MONTH(B87)-1=MONTH($A$2)),(DAY(B87)&lt;=DAY($A$2)))),1,0),1),IF(B87&gt;G87,"DATAS INVALIDAS",IF(OR($A$2&lt;EDATE(G87,-1),$A$2=EDATE(G87,-1)),0,IF(OR($A$2&lt;G87,$A$2=G87),1,IF(DAY($A$2)&lt;5,IF(((YEAR($A$2)-YEAR(G87))*12+(MONTH($A$2)-MONTH(G87)+1))&gt;F87,"TOTALMENTE PAGA",(YEAR($A$2)-YEAR(G87))*12+(MONTH($A$2)-MONTH(G87)+1)),IF(($A$2&gt;K87),"TOTALMENTE PAGA",(YEAR($A$2)-YEAR(G87))*12+(MONTH($A$2)-MONTH(G87)+2))))))))</f>
        <v>INSERIR DATAS E TOT PARC</v>
      </c>
      <c r="K87" s="10" t="str">
        <f t="shared" ref="K87:K104" si="101">IF(OR(F87="anual",F87="mensal",B87=0),"---",EDATE(G87,F87-1))</f>
        <v>---</v>
      </c>
      <c r="L87" s="11">
        <f t="shared" ref="L87:L104" si="102">IF(OR(F87="mensal",F87="anual"),IF(J87=1,H87,0),IF(H87=0,0,IF(J87="TOTALMENTE PAGA",0,(F87-J87)*H87)))</f>
        <v>0</v>
      </c>
      <c r="M87" s="12">
        <f t="shared" ref="M87:M104" si="103">IF(F87="anual",IF(MONTH(B87)=$M$3,H87,0),IF(F87="mensal",I87,IF(K87="---",0,IF($M$2&lt;YEAR(K87),H87,IF($M$2=YEAR(K87),IF(OR($M$3&lt;MONTH(K87),$M$3=MONTH(K87)),H87,0),0)))))</f>
        <v>0</v>
      </c>
      <c r="N87" s="13">
        <f t="shared" ref="N87:N104" si="104">IF(F87="anual",IF(MONTH(B87)=$N$3,H87,0),IF(F87="mensal",I87,IF(K87="---",0,IF($N$2&lt;YEAR(K87),H87,IF($N$2=YEAR(K87),IF(OR($N$3&lt;MONTH(K87),$N$3=MONTH(K87)),H87,0),0)))))</f>
        <v>0</v>
      </c>
      <c r="O87" s="13">
        <f t="shared" ref="O87:O104" si="105">IF(F87="anual",IF(MONTH(B87)=$O$3,H87,0),IF(F87="mensal",I87,IF(K87="---",0,IF($O$2&lt;YEAR(K87),H87,IF($O$2=YEAR(K87),IF(OR($O$3&lt;MONTH(K87),$O$3=MONTH(K87)),H87,0),0)))))</f>
        <v>0</v>
      </c>
      <c r="P87" s="13">
        <f t="shared" ref="P87:P104" si="106">IF(F87="anual",IF(MONTH(B87)=$P$3,H87,0),IF(F87="mensal",I87,IF(K87="---",0,IF($P$2&lt;YEAR(K87),H87,IF($P$2=YEAR(K87),IF(OR($P$3&lt;MONTH(K87),$P$3=MONTH(K87)),H87,0),0)))))</f>
        <v>0</v>
      </c>
      <c r="Q87" s="13">
        <f t="shared" ref="Q87:Q104" si="107">IF(F87="anual",IF(MONTH(B87)=$Q$3,H87,0),IF(F87="mensal",I87,IF(K87="---",0,IF($Q$2&lt;YEAR(K87),H87,IF($Q$2=YEAR(K87),IF(OR($Q$3&lt;MONTH(K87),$Q$3=MONTH(K87)),H87,0),0)))))</f>
        <v>0</v>
      </c>
      <c r="R87" s="13">
        <f t="shared" ref="R87:R104" si="108">IF(F87="anual",IF(MONTH(B87)=$R$3,H87,0),IF(F87="mensal",I87,IF(K87="---",0,IF($R$2&lt;YEAR(K87),H87,IF($R$2=YEAR(K87),IF(OR($R$3&lt;MONTH(K87),$R$3=MONTH(K87)),H87,0),0)))))</f>
        <v>0</v>
      </c>
      <c r="S87" s="13">
        <f t="shared" ref="S87:S104" si="109">IF(F87="anual",IF(MONTH(B87)=$S$3,H87,0),IF(F87="mensal",I87,IF(K87="---",0,IF($S$2&lt;YEAR(K87),H87,IF($S$2=YEAR(K87),IF(OR($S$3&lt;MONTH(K87),$S$3=MONTH(K87)),H87,0),0)))))</f>
        <v>0</v>
      </c>
      <c r="T87" s="13">
        <f t="shared" ref="T87:T104" si="110">IF(F87="anual",IF(MONTH(B87)=$T$3,H87,0),IF(F87="mensal",I87,IF(K87="---",0,IF($T$2&lt;YEAR(K87),H87,IF($T$2=YEAR(K87),IF(OR($T$3&lt;MONTH(K87),$T$3=MONTH(K87)),H87,0),0)))))</f>
        <v>0</v>
      </c>
      <c r="U87" s="13">
        <f t="shared" ref="U87:U104" si="111">IF(F87="anual",IF(MONTH(B87)=$U$3,H87,0),IF(F87="mensal",I87,IF(K87="---",0,IF($U$2&lt;YEAR(K87),H87,IF($U$2=YEAR(K87),IF(OR($U$3&lt;MONTH(K87),$U$3=MONTH(K87)),H87,0),0)))))</f>
        <v>0</v>
      </c>
      <c r="V87" s="13">
        <f t="shared" ref="V87:V104" si="112">IF(F87="anual",IF(MONTH(B87)=$V$3,H87,0),IF(F87="mensal",I87,IF(K87="---",0,IF($V$2&lt;YEAR(K87),H87,IF($V$2=YEAR(K87),IF(OR($V$3&lt;MONTH(K87),$V$3=MONTH(K87)),H87,0),0)))))</f>
        <v>0</v>
      </c>
      <c r="W87" s="14">
        <f t="shared" ref="W87:W104" si="113">IF(F87="anual",IF(MONTH(B87)=$W$3,H87,0),IF(F87="mensal",I87,IF(K87="---",0,IF($W$2&lt;YEAR(K87),H87,IF($W$2=YEAR(K87),IF(OR($W$3&lt;MONTH(K87),$W$3=MONTH(K87)),H87,0),0)))))</f>
        <v>0</v>
      </c>
      <c r="X87" s="154"/>
    </row>
    <row r="88" spans="1:24" s="139" customFormat="1" ht="14.25" customHeight="1" x14ac:dyDescent="0.25">
      <c r="B88" s="287"/>
      <c r="C88" s="288"/>
      <c r="D88" s="289"/>
      <c r="E88" s="289"/>
      <c r="F88" s="290"/>
      <c r="G88" s="291"/>
      <c r="H88" s="292"/>
      <c r="I88" s="8">
        <f t="shared" ca="1" si="99"/>
        <v>0</v>
      </c>
      <c r="J88" s="9" t="str">
        <f t="shared" si="100"/>
        <v>INSERIR DATAS E TOT PARC</v>
      </c>
      <c r="K88" s="10" t="str">
        <f t="shared" si="101"/>
        <v>---</v>
      </c>
      <c r="L88" s="11">
        <f t="shared" si="102"/>
        <v>0</v>
      </c>
      <c r="M88" s="12">
        <f t="shared" si="103"/>
        <v>0</v>
      </c>
      <c r="N88" s="13">
        <f t="shared" si="104"/>
        <v>0</v>
      </c>
      <c r="O88" s="13">
        <f t="shared" si="105"/>
        <v>0</v>
      </c>
      <c r="P88" s="13">
        <f t="shared" si="106"/>
        <v>0</v>
      </c>
      <c r="Q88" s="13">
        <f t="shared" si="107"/>
        <v>0</v>
      </c>
      <c r="R88" s="13">
        <f t="shared" si="108"/>
        <v>0</v>
      </c>
      <c r="S88" s="13">
        <f t="shared" si="109"/>
        <v>0</v>
      </c>
      <c r="T88" s="13">
        <f t="shared" si="110"/>
        <v>0</v>
      </c>
      <c r="U88" s="13">
        <f t="shared" si="111"/>
        <v>0</v>
      </c>
      <c r="V88" s="13">
        <f t="shared" si="112"/>
        <v>0</v>
      </c>
      <c r="W88" s="14">
        <f t="shared" si="113"/>
        <v>0</v>
      </c>
      <c r="X88" s="154"/>
    </row>
    <row r="89" spans="1:24" s="139" customFormat="1" ht="14.25" customHeight="1" x14ac:dyDescent="0.25">
      <c r="B89" s="287"/>
      <c r="C89" s="288"/>
      <c r="D89" s="289"/>
      <c r="E89" s="289"/>
      <c r="F89" s="290"/>
      <c r="G89" s="291"/>
      <c r="H89" s="292"/>
      <c r="I89" s="8">
        <f t="shared" ca="1" si="99"/>
        <v>0</v>
      </c>
      <c r="J89" s="9" t="str">
        <f t="shared" si="100"/>
        <v>INSERIR DATAS E TOT PARC</v>
      </c>
      <c r="K89" s="10" t="str">
        <f t="shared" si="101"/>
        <v>---</v>
      </c>
      <c r="L89" s="11">
        <f t="shared" si="102"/>
        <v>0</v>
      </c>
      <c r="M89" s="12">
        <f t="shared" si="103"/>
        <v>0</v>
      </c>
      <c r="N89" s="13">
        <f t="shared" si="104"/>
        <v>0</v>
      </c>
      <c r="O89" s="13">
        <f t="shared" si="105"/>
        <v>0</v>
      </c>
      <c r="P89" s="13">
        <f t="shared" si="106"/>
        <v>0</v>
      </c>
      <c r="Q89" s="13">
        <f t="shared" si="107"/>
        <v>0</v>
      </c>
      <c r="R89" s="13">
        <f t="shared" si="108"/>
        <v>0</v>
      </c>
      <c r="S89" s="13">
        <f t="shared" si="109"/>
        <v>0</v>
      </c>
      <c r="T89" s="13">
        <f t="shared" si="110"/>
        <v>0</v>
      </c>
      <c r="U89" s="13">
        <f t="shared" si="111"/>
        <v>0</v>
      </c>
      <c r="V89" s="13">
        <f t="shared" si="112"/>
        <v>0</v>
      </c>
      <c r="W89" s="14">
        <f t="shared" si="113"/>
        <v>0</v>
      </c>
      <c r="X89" s="154"/>
    </row>
    <row r="90" spans="1:24" s="139" customFormat="1" ht="14.25" customHeight="1" x14ac:dyDescent="0.25">
      <c r="B90" s="287"/>
      <c r="C90" s="288"/>
      <c r="D90" s="289"/>
      <c r="E90" s="289"/>
      <c r="F90" s="290"/>
      <c r="G90" s="291"/>
      <c r="H90" s="292"/>
      <c r="I90" s="8">
        <f t="shared" ca="1" si="99"/>
        <v>0</v>
      </c>
      <c r="J90" s="9" t="str">
        <f t="shared" si="100"/>
        <v>INSERIR DATAS E TOT PARC</v>
      </c>
      <c r="K90" s="10" t="str">
        <f t="shared" si="101"/>
        <v>---</v>
      </c>
      <c r="L90" s="11">
        <f t="shared" si="102"/>
        <v>0</v>
      </c>
      <c r="M90" s="12">
        <f t="shared" si="103"/>
        <v>0</v>
      </c>
      <c r="N90" s="13">
        <f t="shared" si="104"/>
        <v>0</v>
      </c>
      <c r="O90" s="13">
        <f t="shared" si="105"/>
        <v>0</v>
      </c>
      <c r="P90" s="13">
        <f t="shared" si="106"/>
        <v>0</v>
      </c>
      <c r="Q90" s="13">
        <f t="shared" si="107"/>
        <v>0</v>
      </c>
      <c r="R90" s="13">
        <f t="shared" si="108"/>
        <v>0</v>
      </c>
      <c r="S90" s="13">
        <f t="shared" si="109"/>
        <v>0</v>
      </c>
      <c r="T90" s="13">
        <f t="shared" si="110"/>
        <v>0</v>
      </c>
      <c r="U90" s="13">
        <f t="shared" si="111"/>
        <v>0</v>
      </c>
      <c r="V90" s="13">
        <f t="shared" si="112"/>
        <v>0</v>
      </c>
      <c r="W90" s="14">
        <f t="shared" si="113"/>
        <v>0</v>
      </c>
      <c r="X90" s="154"/>
    </row>
    <row r="91" spans="1:24" s="139" customFormat="1" ht="14.25" customHeight="1" x14ac:dyDescent="0.25">
      <c r="B91" s="287"/>
      <c r="C91" s="288"/>
      <c r="D91" s="289"/>
      <c r="E91" s="289"/>
      <c r="F91" s="290"/>
      <c r="G91" s="291"/>
      <c r="H91" s="292"/>
      <c r="I91" s="8">
        <f t="shared" ca="1" si="99"/>
        <v>0</v>
      </c>
      <c r="J91" s="9" t="str">
        <f t="shared" si="100"/>
        <v>INSERIR DATAS E TOT PARC</v>
      </c>
      <c r="K91" s="10" t="str">
        <f t="shared" si="101"/>
        <v>---</v>
      </c>
      <c r="L91" s="11">
        <f t="shared" si="102"/>
        <v>0</v>
      </c>
      <c r="M91" s="12">
        <f t="shared" si="103"/>
        <v>0</v>
      </c>
      <c r="N91" s="13">
        <f t="shared" si="104"/>
        <v>0</v>
      </c>
      <c r="O91" s="13">
        <f t="shared" si="105"/>
        <v>0</v>
      </c>
      <c r="P91" s="13">
        <f t="shared" si="106"/>
        <v>0</v>
      </c>
      <c r="Q91" s="13">
        <f t="shared" si="107"/>
        <v>0</v>
      </c>
      <c r="R91" s="13">
        <f t="shared" si="108"/>
        <v>0</v>
      </c>
      <c r="S91" s="13">
        <f t="shared" si="109"/>
        <v>0</v>
      </c>
      <c r="T91" s="13">
        <f t="shared" si="110"/>
        <v>0</v>
      </c>
      <c r="U91" s="13">
        <f t="shared" si="111"/>
        <v>0</v>
      </c>
      <c r="V91" s="13">
        <f t="shared" si="112"/>
        <v>0</v>
      </c>
      <c r="W91" s="14">
        <f t="shared" si="113"/>
        <v>0</v>
      </c>
      <c r="X91" s="154"/>
    </row>
    <row r="92" spans="1:24" s="147" customFormat="1" ht="14.25" customHeight="1" x14ac:dyDescent="0.25">
      <c r="B92" s="287"/>
      <c r="C92" s="288"/>
      <c r="D92" s="289"/>
      <c r="E92" s="289"/>
      <c r="F92" s="290"/>
      <c r="G92" s="291"/>
      <c r="H92" s="292"/>
      <c r="I92" s="8">
        <f t="shared" ref="I92:I103" ca="1" si="114">IF(AND(F92="anual",MONTH(B92)&lt;&gt;$D$2),0,IF(OR(J92=0,J92="TOTALMENTE PAGA"),0,H92))</f>
        <v>0</v>
      </c>
      <c r="J92" s="9" t="str">
        <f t="shared" ref="J92:J103" si="115">IF(OR(G92=0,B92=0,F92=0),"INSERIR DATAS E TOT PARC",IF(OR(F92="mensal",F92="anual"),IF(F92="anual",IF(OR(AND((MONTH(B92)=MONTH($A$2)),(DAY(B92)&gt;DAY($A$2))),AND((MONTH(B92)-1=MONTH($A$2)),(DAY(B92)&lt;=DAY($A$2)))),1,0),1),IF(B92&gt;G92,"DATAS INVALIDAS",IF(OR($A$2&lt;EDATE(G92,-1),$A$2=EDATE(G92,-1)),0,IF(OR($A$2&lt;G92,$A$2=G92),1,IF(DAY($A$2)&lt;5,IF(((YEAR($A$2)-YEAR(G92))*12+(MONTH($A$2)-MONTH(G92)+1))&gt;F92,"TOTALMENTE PAGA",(YEAR($A$2)-YEAR(G92))*12+(MONTH($A$2)-MONTH(G92)+1)),IF(($A$2&gt;K92),"TOTALMENTE PAGA",(YEAR($A$2)-YEAR(G92))*12+(MONTH($A$2)-MONTH(G92)+2))))))))</f>
        <v>INSERIR DATAS E TOT PARC</v>
      </c>
      <c r="K92" s="10" t="str">
        <f t="shared" ref="K92:K103" si="116">IF(OR(F92="anual",F92="mensal",B92=0),"---",EDATE(G92,F92-1))</f>
        <v>---</v>
      </c>
      <c r="L92" s="11">
        <f t="shared" ref="L92:L103" si="117">IF(OR(F92="mensal",F92="anual"),IF(J92=1,H92,0),IF(H92=0,0,IF(J92="TOTALMENTE PAGA",0,(F92-J92)*H92)))</f>
        <v>0</v>
      </c>
      <c r="M92" s="12">
        <f t="shared" ref="M92:M103" si="118">IF(F92="anual",IF(MONTH(B92)=$M$3,H92,0),IF(F92="mensal",I92,IF(K92="---",0,IF($M$2&lt;YEAR(K92),H92,IF($M$2=YEAR(K92),IF(OR($M$3&lt;MONTH(K92),$M$3=MONTH(K92)),H92,0),0)))))</f>
        <v>0</v>
      </c>
      <c r="N92" s="13">
        <f t="shared" ref="N92:N103" si="119">IF(F92="anual",IF(MONTH(B92)=$N$3,H92,0),IF(F92="mensal",I92,IF(K92="---",0,IF($N$2&lt;YEAR(K92),H92,IF($N$2=YEAR(K92),IF(OR($N$3&lt;MONTH(K92),$N$3=MONTH(K92)),H92,0),0)))))</f>
        <v>0</v>
      </c>
      <c r="O92" s="13">
        <f t="shared" ref="O92:O103" si="120">IF(F92="anual",IF(MONTH(B92)=$O$3,H92,0),IF(F92="mensal",I92,IF(K92="---",0,IF($O$2&lt;YEAR(K92),H92,IF($O$2=YEAR(K92),IF(OR($O$3&lt;MONTH(K92),$O$3=MONTH(K92)),H92,0),0)))))</f>
        <v>0</v>
      </c>
      <c r="P92" s="13">
        <f t="shared" ref="P92:P103" si="121">IF(F92="anual",IF(MONTH(B92)=$P$3,H92,0),IF(F92="mensal",I92,IF(K92="---",0,IF($P$2&lt;YEAR(K92),H92,IF($P$2=YEAR(K92),IF(OR($P$3&lt;MONTH(K92),$P$3=MONTH(K92)),H92,0),0)))))</f>
        <v>0</v>
      </c>
      <c r="Q92" s="13">
        <f t="shared" ref="Q92:Q103" si="122">IF(F92="anual",IF(MONTH(B92)=$Q$3,H92,0),IF(F92="mensal",I92,IF(K92="---",0,IF($Q$2&lt;YEAR(K92),H92,IF($Q$2=YEAR(K92),IF(OR($Q$3&lt;MONTH(K92),$Q$3=MONTH(K92)),H92,0),0)))))</f>
        <v>0</v>
      </c>
      <c r="R92" s="13">
        <f t="shared" ref="R92:R103" si="123">IF(F92="anual",IF(MONTH(B92)=$R$3,H92,0),IF(F92="mensal",I92,IF(K92="---",0,IF($R$2&lt;YEAR(K92),H92,IF($R$2=YEAR(K92),IF(OR($R$3&lt;MONTH(K92),$R$3=MONTH(K92)),H92,0),0)))))</f>
        <v>0</v>
      </c>
      <c r="S92" s="13">
        <f t="shared" ref="S92:S103" si="124">IF(F92="anual",IF(MONTH(B92)=$S$3,H92,0),IF(F92="mensal",I92,IF(K92="---",0,IF($S$2&lt;YEAR(K92),H92,IF($S$2=YEAR(K92),IF(OR($S$3&lt;MONTH(K92),$S$3=MONTH(K92)),H92,0),0)))))</f>
        <v>0</v>
      </c>
      <c r="T92" s="13">
        <f t="shared" ref="T92:T103" si="125">IF(F92="anual",IF(MONTH(B92)=$T$3,H92,0),IF(F92="mensal",I92,IF(K92="---",0,IF($T$2&lt;YEAR(K92),H92,IF($T$2=YEAR(K92),IF(OR($T$3&lt;MONTH(K92),$T$3=MONTH(K92)),H92,0),0)))))</f>
        <v>0</v>
      </c>
      <c r="U92" s="13">
        <f t="shared" ref="U92:U103" si="126">IF(F92="anual",IF(MONTH(B92)=$U$3,H92,0),IF(F92="mensal",I92,IF(K92="---",0,IF($U$2&lt;YEAR(K92),H92,IF($U$2=YEAR(K92),IF(OR($U$3&lt;MONTH(K92),$U$3=MONTH(K92)),H92,0),0)))))</f>
        <v>0</v>
      </c>
      <c r="V92" s="13">
        <f t="shared" ref="V92:V103" si="127">IF(F92="anual",IF(MONTH(B92)=$V$3,H92,0),IF(F92="mensal",I92,IF(K92="---",0,IF($V$2&lt;YEAR(K92),H92,IF($V$2=YEAR(K92),IF(OR($V$3&lt;MONTH(K92),$V$3=MONTH(K92)),H92,0),0)))))</f>
        <v>0</v>
      </c>
      <c r="W92" s="14">
        <f t="shared" ref="W92:W103" si="128">IF(F92="anual",IF(MONTH(B92)=$W$3,H92,0),IF(F92="mensal",I92,IF(K92="---",0,IF($W$2&lt;YEAR(K92),H92,IF($W$2=YEAR(K92),IF(OR($W$3&lt;MONTH(K92),$W$3=MONTH(K92)),H92,0),0)))))</f>
        <v>0</v>
      </c>
      <c r="X92" s="154"/>
    </row>
    <row r="93" spans="1:24" s="147" customFormat="1" ht="14.25" customHeight="1" x14ac:dyDescent="0.25">
      <c r="B93" s="287"/>
      <c r="C93" s="288"/>
      <c r="D93" s="289"/>
      <c r="E93" s="289"/>
      <c r="F93" s="290"/>
      <c r="G93" s="291"/>
      <c r="H93" s="292"/>
      <c r="I93" s="8">
        <f t="shared" ca="1" si="114"/>
        <v>0</v>
      </c>
      <c r="J93" s="9" t="str">
        <f t="shared" si="115"/>
        <v>INSERIR DATAS E TOT PARC</v>
      </c>
      <c r="K93" s="10" t="str">
        <f t="shared" si="116"/>
        <v>---</v>
      </c>
      <c r="L93" s="11">
        <f t="shared" si="117"/>
        <v>0</v>
      </c>
      <c r="M93" s="12">
        <f t="shared" si="118"/>
        <v>0</v>
      </c>
      <c r="N93" s="13">
        <f t="shared" si="119"/>
        <v>0</v>
      </c>
      <c r="O93" s="13">
        <f t="shared" si="120"/>
        <v>0</v>
      </c>
      <c r="P93" s="13">
        <f t="shared" si="121"/>
        <v>0</v>
      </c>
      <c r="Q93" s="13">
        <f t="shared" si="122"/>
        <v>0</v>
      </c>
      <c r="R93" s="13">
        <f t="shared" si="123"/>
        <v>0</v>
      </c>
      <c r="S93" s="13">
        <f t="shared" si="124"/>
        <v>0</v>
      </c>
      <c r="T93" s="13">
        <f t="shared" si="125"/>
        <v>0</v>
      </c>
      <c r="U93" s="13">
        <f t="shared" si="126"/>
        <v>0</v>
      </c>
      <c r="V93" s="13">
        <f t="shared" si="127"/>
        <v>0</v>
      </c>
      <c r="W93" s="14">
        <f t="shared" si="128"/>
        <v>0</v>
      </c>
      <c r="X93" s="154"/>
    </row>
    <row r="94" spans="1:24" s="147" customFormat="1" ht="14.25" customHeight="1" x14ac:dyDescent="0.25">
      <c r="B94" s="287"/>
      <c r="C94" s="288"/>
      <c r="D94" s="289"/>
      <c r="E94" s="289"/>
      <c r="F94" s="290"/>
      <c r="G94" s="291"/>
      <c r="H94" s="292"/>
      <c r="I94" s="8">
        <f t="shared" ca="1" si="114"/>
        <v>0</v>
      </c>
      <c r="J94" s="9" t="str">
        <f t="shared" si="115"/>
        <v>INSERIR DATAS E TOT PARC</v>
      </c>
      <c r="K94" s="10" t="str">
        <f t="shared" si="116"/>
        <v>---</v>
      </c>
      <c r="L94" s="11">
        <f t="shared" si="117"/>
        <v>0</v>
      </c>
      <c r="M94" s="12">
        <f t="shared" si="118"/>
        <v>0</v>
      </c>
      <c r="N94" s="13">
        <f t="shared" si="119"/>
        <v>0</v>
      </c>
      <c r="O94" s="13">
        <f t="shared" si="120"/>
        <v>0</v>
      </c>
      <c r="P94" s="13">
        <f t="shared" si="121"/>
        <v>0</v>
      </c>
      <c r="Q94" s="13">
        <f t="shared" si="122"/>
        <v>0</v>
      </c>
      <c r="R94" s="13">
        <f t="shared" si="123"/>
        <v>0</v>
      </c>
      <c r="S94" s="13">
        <f t="shared" si="124"/>
        <v>0</v>
      </c>
      <c r="T94" s="13">
        <f t="shared" si="125"/>
        <v>0</v>
      </c>
      <c r="U94" s="13">
        <f t="shared" si="126"/>
        <v>0</v>
      </c>
      <c r="V94" s="13">
        <f t="shared" si="127"/>
        <v>0</v>
      </c>
      <c r="W94" s="14">
        <f t="shared" si="128"/>
        <v>0</v>
      </c>
      <c r="X94" s="154"/>
    </row>
    <row r="95" spans="1:24" s="147" customFormat="1" ht="14.25" customHeight="1" x14ac:dyDescent="0.25">
      <c r="B95" s="287"/>
      <c r="C95" s="288"/>
      <c r="D95" s="289"/>
      <c r="E95" s="289"/>
      <c r="F95" s="290"/>
      <c r="G95" s="291"/>
      <c r="H95" s="292"/>
      <c r="I95" s="8">
        <f t="shared" ca="1" si="114"/>
        <v>0</v>
      </c>
      <c r="J95" s="9" t="str">
        <f t="shared" si="115"/>
        <v>INSERIR DATAS E TOT PARC</v>
      </c>
      <c r="K95" s="10" t="str">
        <f t="shared" si="116"/>
        <v>---</v>
      </c>
      <c r="L95" s="11">
        <f t="shared" si="117"/>
        <v>0</v>
      </c>
      <c r="M95" s="12">
        <f t="shared" si="118"/>
        <v>0</v>
      </c>
      <c r="N95" s="13">
        <f t="shared" si="119"/>
        <v>0</v>
      </c>
      <c r="O95" s="13">
        <f t="shared" si="120"/>
        <v>0</v>
      </c>
      <c r="P95" s="13">
        <f t="shared" si="121"/>
        <v>0</v>
      </c>
      <c r="Q95" s="13">
        <f t="shared" si="122"/>
        <v>0</v>
      </c>
      <c r="R95" s="13">
        <f t="shared" si="123"/>
        <v>0</v>
      </c>
      <c r="S95" s="13">
        <f t="shared" si="124"/>
        <v>0</v>
      </c>
      <c r="T95" s="13">
        <f t="shared" si="125"/>
        <v>0</v>
      </c>
      <c r="U95" s="13">
        <f t="shared" si="126"/>
        <v>0</v>
      </c>
      <c r="V95" s="13">
        <f t="shared" si="127"/>
        <v>0</v>
      </c>
      <c r="W95" s="14">
        <f t="shared" si="128"/>
        <v>0</v>
      </c>
      <c r="X95" s="154"/>
    </row>
    <row r="96" spans="1:24" s="147" customFormat="1" ht="14.25" customHeight="1" x14ac:dyDescent="0.25">
      <c r="B96" s="287"/>
      <c r="C96" s="288"/>
      <c r="D96" s="289"/>
      <c r="E96" s="289"/>
      <c r="F96" s="290"/>
      <c r="G96" s="291"/>
      <c r="H96" s="292"/>
      <c r="I96" s="8">
        <f t="shared" ca="1" si="114"/>
        <v>0</v>
      </c>
      <c r="J96" s="9" t="str">
        <f t="shared" si="115"/>
        <v>INSERIR DATAS E TOT PARC</v>
      </c>
      <c r="K96" s="10" t="str">
        <f t="shared" si="116"/>
        <v>---</v>
      </c>
      <c r="L96" s="11">
        <f t="shared" si="117"/>
        <v>0</v>
      </c>
      <c r="M96" s="12">
        <f t="shared" si="118"/>
        <v>0</v>
      </c>
      <c r="N96" s="13">
        <f t="shared" si="119"/>
        <v>0</v>
      </c>
      <c r="O96" s="13">
        <f t="shared" si="120"/>
        <v>0</v>
      </c>
      <c r="P96" s="13">
        <f t="shared" si="121"/>
        <v>0</v>
      </c>
      <c r="Q96" s="13">
        <f t="shared" si="122"/>
        <v>0</v>
      </c>
      <c r="R96" s="13">
        <f t="shared" si="123"/>
        <v>0</v>
      </c>
      <c r="S96" s="13">
        <f t="shared" si="124"/>
        <v>0</v>
      </c>
      <c r="T96" s="13">
        <f t="shared" si="125"/>
        <v>0</v>
      </c>
      <c r="U96" s="13">
        <f t="shared" si="126"/>
        <v>0</v>
      </c>
      <c r="V96" s="13">
        <f t="shared" si="127"/>
        <v>0</v>
      </c>
      <c r="W96" s="14">
        <f t="shared" si="128"/>
        <v>0</v>
      </c>
      <c r="X96" s="154"/>
    </row>
    <row r="97" spans="2:25" s="147" customFormat="1" ht="14.25" customHeight="1" x14ac:dyDescent="0.25">
      <c r="B97" s="287"/>
      <c r="C97" s="288"/>
      <c r="D97" s="289"/>
      <c r="E97" s="289"/>
      <c r="F97" s="290"/>
      <c r="G97" s="291"/>
      <c r="H97" s="292"/>
      <c r="I97" s="8">
        <f t="shared" ca="1" si="114"/>
        <v>0</v>
      </c>
      <c r="J97" s="9" t="str">
        <f t="shared" si="115"/>
        <v>INSERIR DATAS E TOT PARC</v>
      </c>
      <c r="K97" s="10" t="str">
        <f t="shared" si="116"/>
        <v>---</v>
      </c>
      <c r="L97" s="11">
        <f t="shared" si="117"/>
        <v>0</v>
      </c>
      <c r="M97" s="12">
        <f t="shared" si="118"/>
        <v>0</v>
      </c>
      <c r="N97" s="13">
        <f t="shared" si="119"/>
        <v>0</v>
      </c>
      <c r="O97" s="13">
        <f t="shared" si="120"/>
        <v>0</v>
      </c>
      <c r="P97" s="13">
        <f t="shared" si="121"/>
        <v>0</v>
      </c>
      <c r="Q97" s="13">
        <f t="shared" si="122"/>
        <v>0</v>
      </c>
      <c r="R97" s="13">
        <f t="shared" si="123"/>
        <v>0</v>
      </c>
      <c r="S97" s="13">
        <f t="shared" si="124"/>
        <v>0</v>
      </c>
      <c r="T97" s="13">
        <f t="shared" si="125"/>
        <v>0</v>
      </c>
      <c r="U97" s="13">
        <f t="shared" si="126"/>
        <v>0</v>
      </c>
      <c r="V97" s="13">
        <f t="shared" si="127"/>
        <v>0</v>
      </c>
      <c r="W97" s="14">
        <f t="shared" si="128"/>
        <v>0</v>
      </c>
      <c r="X97" s="154"/>
    </row>
    <row r="98" spans="2:25" s="147" customFormat="1" ht="14.25" customHeight="1" x14ac:dyDescent="0.25">
      <c r="B98" s="287"/>
      <c r="C98" s="288"/>
      <c r="D98" s="289"/>
      <c r="E98" s="289"/>
      <c r="F98" s="290"/>
      <c r="G98" s="291"/>
      <c r="H98" s="292"/>
      <c r="I98" s="8">
        <f t="shared" ca="1" si="114"/>
        <v>0</v>
      </c>
      <c r="J98" s="9" t="str">
        <f t="shared" si="115"/>
        <v>INSERIR DATAS E TOT PARC</v>
      </c>
      <c r="K98" s="10" t="str">
        <f t="shared" si="116"/>
        <v>---</v>
      </c>
      <c r="L98" s="11">
        <f t="shared" si="117"/>
        <v>0</v>
      </c>
      <c r="M98" s="12">
        <f t="shared" si="118"/>
        <v>0</v>
      </c>
      <c r="N98" s="13">
        <f t="shared" si="119"/>
        <v>0</v>
      </c>
      <c r="O98" s="13">
        <f t="shared" si="120"/>
        <v>0</v>
      </c>
      <c r="P98" s="13">
        <f t="shared" si="121"/>
        <v>0</v>
      </c>
      <c r="Q98" s="13">
        <f t="shared" si="122"/>
        <v>0</v>
      </c>
      <c r="R98" s="13">
        <f t="shared" si="123"/>
        <v>0</v>
      </c>
      <c r="S98" s="13">
        <f t="shared" si="124"/>
        <v>0</v>
      </c>
      <c r="T98" s="13">
        <f t="shared" si="125"/>
        <v>0</v>
      </c>
      <c r="U98" s="13">
        <f t="shared" si="126"/>
        <v>0</v>
      </c>
      <c r="V98" s="13">
        <f t="shared" si="127"/>
        <v>0</v>
      </c>
      <c r="W98" s="14">
        <f t="shared" si="128"/>
        <v>0</v>
      </c>
      <c r="X98" s="154"/>
    </row>
    <row r="99" spans="2:25" s="147" customFormat="1" ht="14.25" customHeight="1" x14ac:dyDescent="0.25">
      <c r="B99" s="287"/>
      <c r="C99" s="288"/>
      <c r="D99" s="289"/>
      <c r="E99" s="289"/>
      <c r="F99" s="290"/>
      <c r="G99" s="291"/>
      <c r="H99" s="292"/>
      <c r="I99" s="8">
        <f t="shared" ca="1" si="114"/>
        <v>0</v>
      </c>
      <c r="J99" s="9" t="str">
        <f t="shared" si="115"/>
        <v>INSERIR DATAS E TOT PARC</v>
      </c>
      <c r="K99" s="10" t="str">
        <f t="shared" si="116"/>
        <v>---</v>
      </c>
      <c r="L99" s="11">
        <f t="shared" si="117"/>
        <v>0</v>
      </c>
      <c r="M99" s="12">
        <f t="shared" si="118"/>
        <v>0</v>
      </c>
      <c r="N99" s="13">
        <f t="shared" si="119"/>
        <v>0</v>
      </c>
      <c r="O99" s="13">
        <f t="shared" si="120"/>
        <v>0</v>
      </c>
      <c r="P99" s="13">
        <f t="shared" si="121"/>
        <v>0</v>
      </c>
      <c r="Q99" s="13">
        <f t="shared" si="122"/>
        <v>0</v>
      </c>
      <c r="R99" s="13">
        <f t="shared" si="123"/>
        <v>0</v>
      </c>
      <c r="S99" s="13">
        <f t="shared" si="124"/>
        <v>0</v>
      </c>
      <c r="T99" s="13">
        <f t="shared" si="125"/>
        <v>0</v>
      </c>
      <c r="U99" s="13">
        <f t="shared" si="126"/>
        <v>0</v>
      </c>
      <c r="V99" s="13">
        <f t="shared" si="127"/>
        <v>0</v>
      </c>
      <c r="W99" s="14">
        <f t="shared" si="128"/>
        <v>0</v>
      </c>
      <c r="X99" s="154"/>
    </row>
    <row r="100" spans="2:25" s="147" customFormat="1" ht="14.25" customHeight="1" x14ac:dyDescent="0.25">
      <c r="B100" s="287"/>
      <c r="C100" s="288"/>
      <c r="D100" s="289"/>
      <c r="E100" s="289"/>
      <c r="F100" s="290"/>
      <c r="G100" s="291"/>
      <c r="H100" s="292"/>
      <c r="I100" s="8">
        <f t="shared" ca="1" si="114"/>
        <v>0</v>
      </c>
      <c r="J100" s="9" t="str">
        <f t="shared" si="115"/>
        <v>INSERIR DATAS E TOT PARC</v>
      </c>
      <c r="K100" s="10" t="str">
        <f t="shared" si="116"/>
        <v>---</v>
      </c>
      <c r="L100" s="11">
        <f t="shared" si="117"/>
        <v>0</v>
      </c>
      <c r="M100" s="12">
        <f t="shared" si="118"/>
        <v>0</v>
      </c>
      <c r="N100" s="13">
        <f t="shared" si="119"/>
        <v>0</v>
      </c>
      <c r="O100" s="13">
        <f t="shared" si="120"/>
        <v>0</v>
      </c>
      <c r="P100" s="13">
        <f t="shared" si="121"/>
        <v>0</v>
      </c>
      <c r="Q100" s="13">
        <f t="shared" si="122"/>
        <v>0</v>
      </c>
      <c r="R100" s="13">
        <f t="shared" si="123"/>
        <v>0</v>
      </c>
      <c r="S100" s="13">
        <f t="shared" si="124"/>
        <v>0</v>
      </c>
      <c r="T100" s="13">
        <f t="shared" si="125"/>
        <v>0</v>
      </c>
      <c r="U100" s="13">
        <f t="shared" si="126"/>
        <v>0</v>
      </c>
      <c r="V100" s="13">
        <f t="shared" si="127"/>
        <v>0</v>
      </c>
      <c r="W100" s="14">
        <f t="shared" si="128"/>
        <v>0</v>
      </c>
      <c r="X100" s="154"/>
    </row>
    <row r="101" spans="2:25" s="147" customFormat="1" ht="14.25" customHeight="1" x14ac:dyDescent="0.25">
      <c r="B101" s="287"/>
      <c r="C101" s="288"/>
      <c r="D101" s="289"/>
      <c r="E101" s="289"/>
      <c r="F101" s="290"/>
      <c r="G101" s="291"/>
      <c r="H101" s="292"/>
      <c r="I101" s="8">
        <f t="shared" ca="1" si="114"/>
        <v>0</v>
      </c>
      <c r="J101" s="9" t="str">
        <f t="shared" si="115"/>
        <v>INSERIR DATAS E TOT PARC</v>
      </c>
      <c r="K101" s="10" t="str">
        <f t="shared" si="116"/>
        <v>---</v>
      </c>
      <c r="L101" s="11">
        <f t="shared" si="117"/>
        <v>0</v>
      </c>
      <c r="M101" s="12">
        <f t="shared" si="118"/>
        <v>0</v>
      </c>
      <c r="N101" s="13">
        <f t="shared" si="119"/>
        <v>0</v>
      </c>
      <c r="O101" s="13">
        <f t="shared" si="120"/>
        <v>0</v>
      </c>
      <c r="P101" s="13">
        <f t="shared" si="121"/>
        <v>0</v>
      </c>
      <c r="Q101" s="13">
        <f t="shared" si="122"/>
        <v>0</v>
      </c>
      <c r="R101" s="13">
        <f t="shared" si="123"/>
        <v>0</v>
      </c>
      <c r="S101" s="13">
        <f t="shared" si="124"/>
        <v>0</v>
      </c>
      <c r="T101" s="13">
        <f t="shared" si="125"/>
        <v>0</v>
      </c>
      <c r="U101" s="13">
        <f t="shared" si="126"/>
        <v>0</v>
      </c>
      <c r="V101" s="13">
        <f t="shared" si="127"/>
        <v>0</v>
      </c>
      <c r="W101" s="14">
        <f t="shared" si="128"/>
        <v>0</v>
      </c>
      <c r="X101" s="154"/>
    </row>
    <row r="102" spans="2:25" s="147" customFormat="1" ht="14.25" customHeight="1" x14ac:dyDescent="0.25">
      <c r="B102" s="287"/>
      <c r="C102" s="288"/>
      <c r="D102" s="289"/>
      <c r="E102" s="289"/>
      <c r="F102" s="290"/>
      <c r="G102" s="291"/>
      <c r="H102" s="292"/>
      <c r="I102" s="8">
        <f t="shared" ca="1" si="114"/>
        <v>0</v>
      </c>
      <c r="J102" s="9" t="str">
        <f t="shared" si="115"/>
        <v>INSERIR DATAS E TOT PARC</v>
      </c>
      <c r="K102" s="10" t="str">
        <f t="shared" si="116"/>
        <v>---</v>
      </c>
      <c r="L102" s="11">
        <f t="shared" si="117"/>
        <v>0</v>
      </c>
      <c r="M102" s="12">
        <f t="shared" si="118"/>
        <v>0</v>
      </c>
      <c r="N102" s="13">
        <f t="shared" si="119"/>
        <v>0</v>
      </c>
      <c r="O102" s="13">
        <f t="shared" si="120"/>
        <v>0</v>
      </c>
      <c r="P102" s="13">
        <f t="shared" si="121"/>
        <v>0</v>
      </c>
      <c r="Q102" s="13">
        <f t="shared" si="122"/>
        <v>0</v>
      </c>
      <c r="R102" s="13">
        <f t="shared" si="123"/>
        <v>0</v>
      </c>
      <c r="S102" s="13">
        <f t="shared" si="124"/>
        <v>0</v>
      </c>
      <c r="T102" s="13">
        <f t="shared" si="125"/>
        <v>0</v>
      </c>
      <c r="U102" s="13">
        <f t="shared" si="126"/>
        <v>0</v>
      </c>
      <c r="V102" s="13">
        <f t="shared" si="127"/>
        <v>0</v>
      </c>
      <c r="W102" s="14">
        <f t="shared" si="128"/>
        <v>0</v>
      </c>
      <c r="X102" s="154"/>
    </row>
    <row r="103" spans="2:25" s="147" customFormat="1" ht="14.25" customHeight="1" x14ac:dyDescent="0.25">
      <c r="B103" s="287"/>
      <c r="C103" s="288"/>
      <c r="D103" s="289"/>
      <c r="E103" s="289"/>
      <c r="F103" s="290"/>
      <c r="G103" s="291"/>
      <c r="H103" s="292"/>
      <c r="I103" s="8">
        <f t="shared" ca="1" si="114"/>
        <v>0</v>
      </c>
      <c r="J103" s="9" t="str">
        <f t="shared" si="115"/>
        <v>INSERIR DATAS E TOT PARC</v>
      </c>
      <c r="K103" s="10" t="str">
        <f t="shared" si="116"/>
        <v>---</v>
      </c>
      <c r="L103" s="11">
        <f t="shared" si="117"/>
        <v>0</v>
      </c>
      <c r="M103" s="12">
        <f t="shared" si="118"/>
        <v>0</v>
      </c>
      <c r="N103" s="13">
        <f t="shared" si="119"/>
        <v>0</v>
      </c>
      <c r="O103" s="13">
        <f t="shared" si="120"/>
        <v>0</v>
      </c>
      <c r="P103" s="13">
        <f t="shared" si="121"/>
        <v>0</v>
      </c>
      <c r="Q103" s="13">
        <f t="shared" si="122"/>
        <v>0</v>
      </c>
      <c r="R103" s="13">
        <f t="shared" si="123"/>
        <v>0</v>
      </c>
      <c r="S103" s="13">
        <f t="shared" si="124"/>
        <v>0</v>
      </c>
      <c r="T103" s="13">
        <f t="shared" si="125"/>
        <v>0</v>
      </c>
      <c r="U103" s="13">
        <f t="shared" si="126"/>
        <v>0</v>
      </c>
      <c r="V103" s="13">
        <f t="shared" si="127"/>
        <v>0</v>
      </c>
      <c r="W103" s="14">
        <f t="shared" si="128"/>
        <v>0</v>
      </c>
      <c r="X103" s="154"/>
    </row>
    <row r="104" spans="2:25" s="139" customFormat="1" ht="14.25" customHeight="1" thickBot="1" x14ac:dyDescent="0.3">
      <c r="B104" s="287"/>
      <c r="C104" s="288"/>
      <c r="D104" s="289"/>
      <c r="E104" s="289"/>
      <c r="F104" s="290"/>
      <c r="G104" s="291"/>
      <c r="H104" s="292"/>
      <c r="I104" s="8">
        <f t="shared" ca="1" si="99"/>
        <v>0</v>
      </c>
      <c r="J104" s="9" t="str">
        <f t="shared" si="100"/>
        <v>INSERIR DATAS E TOT PARC</v>
      </c>
      <c r="K104" s="10" t="str">
        <f t="shared" si="101"/>
        <v>---</v>
      </c>
      <c r="L104" s="11">
        <f t="shared" si="102"/>
        <v>0</v>
      </c>
      <c r="M104" s="12">
        <f t="shared" si="103"/>
        <v>0</v>
      </c>
      <c r="N104" s="13">
        <f t="shared" si="104"/>
        <v>0</v>
      </c>
      <c r="O104" s="13">
        <f t="shared" si="105"/>
        <v>0</v>
      </c>
      <c r="P104" s="13">
        <f t="shared" si="106"/>
        <v>0</v>
      </c>
      <c r="Q104" s="13">
        <f t="shared" si="107"/>
        <v>0</v>
      </c>
      <c r="R104" s="13">
        <f t="shared" si="108"/>
        <v>0</v>
      </c>
      <c r="S104" s="13">
        <f t="shared" si="109"/>
        <v>0</v>
      </c>
      <c r="T104" s="13">
        <f t="shared" si="110"/>
        <v>0</v>
      </c>
      <c r="U104" s="13">
        <f t="shared" si="111"/>
        <v>0</v>
      </c>
      <c r="V104" s="13">
        <f t="shared" si="112"/>
        <v>0</v>
      </c>
      <c r="W104" s="14">
        <f t="shared" si="113"/>
        <v>0</v>
      </c>
      <c r="X104" s="154"/>
    </row>
    <row r="105" spans="2:25" ht="14.25" customHeight="1" thickBot="1" x14ac:dyDescent="0.3">
      <c r="B105" s="346" t="s">
        <v>19</v>
      </c>
      <c r="C105" s="343"/>
      <c r="D105" s="347"/>
      <c r="E105" s="17">
        <f>MAX(K79:K86)</f>
        <v>0</v>
      </c>
      <c r="F105" s="330" t="s">
        <v>177</v>
      </c>
      <c r="G105" s="331"/>
      <c r="H105" s="332"/>
      <c r="I105" s="18">
        <f ca="1">IF(OR((J105&lt;$A$2),(J105=$A$2)),IF(($D$2-MONTH(J105))=0,0,IF(AND($D$2-MONTH(J105)=1,DAY(J105)&lt;32,DAY(J105)&gt;4),0,SUM(I79:I104))),"DT PAG &gt; DT HJ")</f>
        <v>0</v>
      </c>
      <c r="J105" s="225">
        <v>44621</v>
      </c>
      <c r="K105" s="19" t="s">
        <v>20</v>
      </c>
      <c r="L105" s="20">
        <f ca="1">SUM(L79:L104)+I105</f>
        <v>0</v>
      </c>
      <c r="M105" s="25">
        <f t="shared" ref="M105:W105" si="129">SUM(M79:M86)</f>
        <v>0</v>
      </c>
      <c r="N105" s="26">
        <f t="shared" si="129"/>
        <v>0</v>
      </c>
      <c r="O105" s="26">
        <f t="shared" si="129"/>
        <v>0</v>
      </c>
      <c r="P105" s="26">
        <f t="shared" si="129"/>
        <v>0</v>
      </c>
      <c r="Q105" s="26">
        <f t="shared" si="129"/>
        <v>0</v>
      </c>
      <c r="R105" s="26">
        <f t="shared" si="129"/>
        <v>0</v>
      </c>
      <c r="S105" s="26">
        <f t="shared" si="129"/>
        <v>0</v>
      </c>
      <c r="T105" s="26">
        <f t="shared" si="129"/>
        <v>0</v>
      </c>
      <c r="U105" s="26">
        <f t="shared" si="129"/>
        <v>0</v>
      </c>
      <c r="V105" s="26">
        <f t="shared" si="129"/>
        <v>0</v>
      </c>
      <c r="W105" s="27">
        <f t="shared" si="129"/>
        <v>0</v>
      </c>
      <c r="X105" s="21">
        <f>SUM(M105:W105)</f>
        <v>0</v>
      </c>
      <c r="Y105" s="76"/>
    </row>
    <row r="106" spans="2:25" ht="14.25" customHeight="1" thickBot="1" x14ac:dyDescent="0.3">
      <c r="B106" s="22"/>
      <c r="C106" s="23"/>
      <c r="D106" s="23"/>
      <c r="E106" s="23"/>
      <c r="F106" s="23"/>
      <c r="H106" s="5"/>
      <c r="I106" s="309"/>
      <c r="J106" s="310" t="s">
        <v>21</v>
      </c>
      <c r="K106" s="107"/>
      <c r="L106" s="311"/>
      <c r="M106" s="155">
        <f ca="1">IFERROR(M105/M$264,0)</f>
        <v>0</v>
      </c>
      <c r="N106" s="156">
        <f t="shared" ref="N106:W106" ca="1" si="130">IFERROR(N105/N$264,0)</f>
        <v>0</v>
      </c>
      <c r="O106" s="156">
        <f t="shared" ca="1" si="130"/>
        <v>0</v>
      </c>
      <c r="P106" s="156">
        <f t="shared" ca="1" si="130"/>
        <v>0</v>
      </c>
      <c r="Q106" s="156">
        <f t="shared" ca="1" si="130"/>
        <v>0</v>
      </c>
      <c r="R106" s="156">
        <f t="shared" ca="1" si="130"/>
        <v>0</v>
      </c>
      <c r="S106" s="156">
        <f t="shared" ca="1" si="130"/>
        <v>0</v>
      </c>
      <c r="T106" s="156">
        <f t="shared" ca="1" si="130"/>
        <v>0</v>
      </c>
      <c r="U106" s="156">
        <f t="shared" ca="1" si="130"/>
        <v>0</v>
      </c>
      <c r="V106" s="156">
        <f t="shared" ca="1" si="130"/>
        <v>0</v>
      </c>
      <c r="W106" s="157">
        <f t="shared" ca="1" si="130"/>
        <v>0</v>
      </c>
      <c r="X106" s="154"/>
    </row>
    <row r="107" spans="2:25" ht="14.25" customHeight="1" thickBot="1" x14ac:dyDescent="0.3">
      <c r="B107" s="335" t="s">
        <v>172</v>
      </c>
      <c r="C107" s="336"/>
      <c r="D107" s="336"/>
      <c r="E107" s="336"/>
      <c r="F107" s="336"/>
      <c r="G107" s="336"/>
      <c r="H107" s="336"/>
      <c r="I107" s="337"/>
      <c r="J107" s="338"/>
      <c r="K107" s="338"/>
      <c r="L107" s="339"/>
      <c r="M107" s="325" t="str">
        <f>B107</f>
        <v>CARTÃO-04 | FINAL:XXXX</v>
      </c>
      <c r="N107" s="325"/>
      <c r="O107" s="325"/>
      <c r="P107" s="325"/>
      <c r="Q107" s="325"/>
      <c r="R107" s="325"/>
      <c r="S107" s="325"/>
      <c r="T107" s="325"/>
      <c r="U107" s="325"/>
      <c r="V107" s="325"/>
      <c r="W107" s="326"/>
      <c r="X107" s="154"/>
    </row>
    <row r="108" spans="2:25" ht="14.25" customHeight="1" x14ac:dyDescent="0.25">
      <c r="B108" s="277"/>
      <c r="C108" s="278"/>
      <c r="D108" s="279"/>
      <c r="E108" s="279"/>
      <c r="F108" s="280"/>
      <c r="G108" s="279"/>
      <c r="H108" s="281"/>
      <c r="I108" s="312">
        <f t="shared" ref="I108" ca="1" si="131">IF(AND(F108="anual",MONTH(B108)&lt;&gt;$D$2),0,IF(OR(J108=0,J108="TOTALMENTE PAGA"),0,H108))</f>
        <v>0</v>
      </c>
      <c r="J108" s="313" t="str">
        <f t="shared" ref="J108:J127" si="132">IF(OR(G108=0,B108=0,F108=0),"INSERIR DATAS E TOT PARC",IF(OR(F108="mensal",F108="anual"),IF(F108="anual",IF(OR(AND((MONTH(B108)=MONTH($A$2)),(DAY(B108)&gt;DAY($A$2))),AND((MONTH(B108)-1=MONTH($A$2)),(DAY(B108)&lt;=DAY($A$2)))),1,0),1),IF(B108&gt;G108,"DATAS INVALIDAS",IF(OR($A$2&lt;EDATE(G108,-1),$A$2=EDATE(G108,-1)),0,IF(OR($A$2&lt;G108,$A$2=G108),1,IF(DAY($A$2)&lt;5,IF(((YEAR($A$2)-YEAR(G108))*12+(MONTH($A$2)-MONTH(G108)+1))&gt;F108,"TOTALMENTE PAGA",(YEAR($A$2)-YEAR(G108))*12+(MONTH($A$2)-MONTH(G108)+1)),IF(($A$2&gt;K108),"TOTALMENTE PAGA",(YEAR($A$2)-YEAR(G108))*12+(MONTH($A$2)-MONTH(G108)+2))))))))</f>
        <v>INSERIR DATAS E TOT PARC</v>
      </c>
      <c r="K108" s="10" t="str">
        <f t="shared" ref="K108" si="133">IF(OR(F108="anual",F108="mensal",B108=0),"---",EDATE(G108,F108-1))</f>
        <v>---</v>
      </c>
      <c r="L108" s="314">
        <f t="shared" ref="L108" si="134">IF(OR(F108="mensal",F108="anual"),IF(J108=1,H108,0),IF(H108=0,0,IF(J108="TOTALMENTE PAGA",0,(F108-J108)*H108)))</f>
        <v>0</v>
      </c>
      <c r="M108" s="12">
        <f>IF(F108="anual",IF(MONTH(B108)=$M$3,H108,0),IF(F108="mensal",I108,IF(K108="---",0,IF($M$2&lt;YEAR(K108),H108,IF($M$2=YEAR(K108),IF(OR($M$3&lt;MONTH(K108),$M$3=MONTH(K108)),H108,0),0)))))</f>
        <v>0</v>
      </c>
      <c r="N108" s="13">
        <f>IF(F108="anual",IF(MONTH(B108)=$N$3,H108,0),IF(F108="mensal",I108,IF(K108="---",0,IF($N$2&lt;YEAR(K108),H108,IF($N$2=YEAR(K108),IF(OR($N$3&lt;MONTH(K108),$N$3=MONTH(K108)),H108,0),0)))))</f>
        <v>0</v>
      </c>
      <c r="O108" s="13">
        <f>IF(F108="anual",IF(MONTH(B108)=$O$3,H108,0),IF(F108="mensal",I108,IF(K108="---",0,IF($O$2&lt;YEAR(K108),H108,IF($O$2=YEAR(K108),IF(OR($O$3&lt;MONTH(K108),$O$3=MONTH(K108)),H108,0),0)))))</f>
        <v>0</v>
      </c>
      <c r="P108" s="13">
        <f>IF(F108="anual",IF(MONTH(B108)=$P$3,H108,0),IF(F108="mensal",I108,IF(K108="---",0,IF($P$2&lt;YEAR(K108),H108,IF($P$2=YEAR(K108),IF(OR($P$3&lt;MONTH(K108),$P$3=MONTH(K108)),H108,0),0)))))</f>
        <v>0</v>
      </c>
      <c r="Q108" s="13">
        <f>IF(F108="anual",IF(MONTH(B108)=$Q$3,H108,0),IF(F108="mensal",I108,IF(K108="---",0,IF($Q$2&lt;YEAR(K108),H108,IF($Q$2=YEAR(K108),IF(OR($Q$3&lt;MONTH(K108),$Q$3=MONTH(K108)),H108,0),0)))))</f>
        <v>0</v>
      </c>
      <c r="R108" s="13">
        <f>IF(F108="anual",IF(MONTH(B108)=$R$3,H108,0),IF(F108="mensal",I108,IF(K108="---",0,IF($R$2&lt;YEAR(K108),H108,IF($R$2=YEAR(K108),IF(OR($R$3&lt;MONTH(K108),$R$3=MONTH(K108)),H108,0),0)))))</f>
        <v>0</v>
      </c>
      <c r="S108" s="13">
        <f>IF(F108="anual",IF(MONTH(B108)=$S$3,H108,0),IF(F108="mensal",I108,IF(K108="---",0,IF($S$2&lt;YEAR(K108),H108,IF($S$2=YEAR(K108),IF(OR($S$3&lt;MONTH(K108),$S$3=MONTH(K108)),H108,0),0)))))</f>
        <v>0</v>
      </c>
      <c r="T108" s="13">
        <f>IF(F108="anual",IF(MONTH(B108)=$T$3,H108,0),IF(F108="mensal",I108,IF(K108="---",0,IF($T$2&lt;YEAR(K108),H108,IF($T$2=YEAR(K108),IF(OR($T$3&lt;MONTH(K108),$T$3=MONTH(K108)),H108,0),0)))))</f>
        <v>0</v>
      </c>
      <c r="U108" s="13">
        <f>IF(F108="anual",IF(MONTH(B108)=$U$3,H108,0),IF(F108="mensal",I108,IF(K108="---",0,IF($U$2&lt;YEAR(K108),H108,IF($U$2=YEAR(K108),IF(OR($U$3&lt;MONTH(K108),$U$3=MONTH(K108)),H108,0),0)))))</f>
        <v>0</v>
      </c>
      <c r="V108" s="13">
        <f>IF(F108="anual",IF(MONTH(B108)=$V$3,H108,0),IF(F108="mensal",I108,IF(K108="---",0,IF($V$2&lt;YEAR(K108),H108,IF($V$2=YEAR(K108),IF(OR($V$3&lt;MONTH(K108),$V$3=MONTH(K108)),H108,0),0)))))</f>
        <v>0</v>
      </c>
      <c r="W108" s="14">
        <f>IF(F108="anual",IF(MONTH(B108)=$W$3,H108,0),IF(F108="mensal",I108,IF(K108="---",0,IF($W$2&lt;YEAR(K108),H108,IF($W$2=YEAR(K108),IF(OR($W$3&lt;MONTH(K108),$W$3=MONTH(K108)),H108,0),0)))))</f>
        <v>0</v>
      </c>
      <c r="X108" s="154"/>
    </row>
    <row r="109" spans="2:25" ht="14.25" customHeight="1" x14ac:dyDescent="0.25">
      <c r="B109" s="277"/>
      <c r="C109" s="278"/>
      <c r="D109" s="279"/>
      <c r="E109" s="279"/>
      <c r="F109" s="280"/>
      <c r="G109" s="279"/>
      <c r="H109" s="281"/>
      <c r="I109" s="8">
        <f t="shared" ref="I109:I127" ca="1" si="135">IF(AND(F109="anual",MONTH(B109)&lt;&gt;$D$2),0,IF(OR(J109=0,J109="TOTALMENTE PAGA"),0,H109))</f>
        <v>0</v>
      </c>
      <c r="J109" s="9" t="str">
        <f t="shared" si="132"/>
        <v>INSERIR DATAS E TOT PARC</v>
      </c>
      <c r="K109" s="10" t="str">
        <f t="shared" ref="K109:K127" si="136">IF(OR(F109="anual",F109="mensal",B109=0),"---",EDATE(G109,F109-1))</f>
        <v>---</v>
      </c>
      <c r="L109" s="11">
        <f t="shared" ref="L109:L127" si="137">IF(OR(F109="mensal",F109="anual"),IF(J109=1,H109,0),IF(H109=0,0,IF(J109="TOTALMENTE PAGA",0,(F109-J109)*H109)))</f>
        <v>0</v>
      </c>
      <c r="M109" s="12">
        <f t="shared" ref="M109:M127" si="138">IF(F109="anual",IF(MONTH(B109)=$M$3,H109,0),IF(F109="mensal",I109,IF(K109="---",0,IF($M$2&lt;YEAR(K109),H109,IF($M$2=YEAR(K109),IF(OR($M$3&lt;MONTH(K109),$M$3=MONTH(K109)),H109,0),0)))))</f>
        <v>0</v>
      </c>
      <c r="N109" s="13">
        <f t="shared" ref="N109:N127" si="139">IF(F109="anual",IF(MONTH(B109)=$N$3,H109,0),IF(F109="mensal",I109,IF(K109="---",0,IF($N$2&lt;YEAR(K109),H109,IF($N$2=YEAR(K109),IF(OR($N$3&lt;MONTH(K109),$N$3=MONTH(K109)),H109,0),0)))))</f>
        <v>0</v>
      </c>
      <c r="O109" s="13">
        <f t="shared" ref="O109:O127" si="140">IF(F109="anual",IF(MONTH(B109)=$O$3,H109,0),IF(F109="mensal",I109,IF(K109="---",0,IF($O$2&lt;YEAR(K109),H109,IF($O$2=YEAR(K109),IF(OR($O$3&lt;MONTH(K109),$O$3=MONTH(K109)),H109,0),0)))))</f>
        <v>0</v>
      </c>
      <c r="P109" s="13">
        <f t="shared" ref="P109:P127" si="141">IF(F109="anual",IF(MONTH(B109)=$P$3,H109,0),IF(F109="mensal",I109,IF(K109="---",0,IF($P$2&lt;YEAR(K109),H109,IF($P$2=YEAR(K109),IF(OR($P$3&lt;MONTH(K109),$P$3=MONTH(K109)),H109,0),0)))))</f>
        <v>0</v>
      </c>
      <c r="Q109" s="13">
        <f t="shared" ref="Q109:Q127" si="142">IF(F109="anual",IF(MONTH(B109)=$Q$3,H109,0),IF(F109="mensal",I109,IF(K109="---",0,IF($Q$2&lt;YEAR(K109),H109,IF($Q$2=YEAR(K109),IF(OR($Q$3&lt;MONTH(K109),$Q$3=MONTH(K109)),H109,0),0)))))</f>
        <v>0</v>
      </c>
      <c r="R109" s="13">
        <f t="shared" ref="R109:R127" si="143">IF(F109="anual",IF(MONTH(B109)=$R$3,H109,0),IF(F109="mensal",I109,IF(K109="---",0,IF($R$2&lt;YEAR(K109),H109,IF($R$2=YEAR(K109),IF(OR($R$3&lt;MONTH(K109),$R$3=MONTH(K109)),H109,0),0)))))</f>
        <v>0</v>
      </c>
      <c r="S109" s="13">
        <f t="shared" ref="S109:S127" si="144">IF(F109="anual",IF(MONTH(B109)=$S$3,H109,0),IF(F109="mensal",I109,IF(K109="---",0,IF($S$2&lt;YEAR(K109),H109,IF($S$2=YEAR(K109),IF(OR($S$3&lt;MONTH(K109),$S$3=MONTH(K109)),H109,0),0)))))</f>
        <v>0</v>
      </c>
      <c r="T109" s="13">
        <f t="shared" ref="T109:T127" si="145">IF(F109="anual",IF(MONTH(B109)=$T$3,H109,0),IF(F109="mensal",I109,IF(K109="---",0,IF($T$2&lt;YEAR(K109),H109,IF($T$2=YEAR(K109),IF(OR($T$3&lt;MONTH(K109),$T$3=MONTH(K109)),H109,0),0)))))</f>
        <v>0</v>
      </c>
      <c r="U109" s="13">
        <f t="shared" ref="U109:U127" si="146">IF(F109="anual",IF(MONTH(B109)=$U$3,H109,0),IF(F109="mensal",I109,IF(K109="---",0,IF($U$2&lt;YEAR(K109),H109,IF($U$2=YEAR(K109),IF(OR($U$3&lt;MONTH(K109),$U$3=MONTH(K109)),H109,0),0)))))</f>
        <v>0</v>
      </c>
      <c r="V109" s="13">
        <f t="shared" ref="V109:V127" si="147">IF(F109="anual",IF(MONTH(B109)=$V$3,H109,0),IF(F109="mensal",I109,IF(K109="---",0,IF($V$2&lt;YEAR(K109),H109,IF($V$2=YEAR(K109),IF(OR($V$3&lt;MONTH(K109),$V$3=MONTH(K109)),H109,0),0)))))</f>
        <v>0</v>
      </c>
      <c r="W109" s="14">
        <f t="shared" ref="W109:W127" si="148">IF(F109="anual",IF(MONTH(B109)=$W$3,H109,0),IF(F109="mensal",I109,IF(K109="---",0,IF($W$2&lt;YEAR(K109),H109,IF($W$2=YEAR(K109),IF(OR($W$3&lt;MONTH(K109),$W$3=MONTH(K109)),H109,0),0)))))</f>
        <v>0</v>
      </c>
      <c r="X109" s="154"/>
    </row>
    <row r="110" spans="2:25" ht="14.25" customHeight="1" x14ac:dyDescent="0.25">
      <c r="B110" s="277"/>
      <c r="C110" s="278"/>
      <c r="D110" s="279"/>
      <c r="E110" s="279"/>
      <c r="F110" s="280"/>
      <c r="G110" s="279"/>
      <c r="H110" s="281"/>
      <c r="I110" s="8">
        <f t="shared" ca="1" si="135"/>
        <v>0</v>
      </c>
      <c r="J110" s="9" t="str">
        <f t="shared" si="132"/>
        <v>INSERIR DATAS E TOT PARC</v>
      </c>
      <c r="K110" s="10" t="str">
        <f t="shared" si="136"/>
        <v>---</v>
      </c>
      <c r="L110" s="11">
        <f t="shared" si="137"/>
        <v>0</v>
      </c>
      <c r="M110" s="12">
        <f t="shared" si="138"/>
        <v>0</v>
      </c>
      <c r="N110" s="13">
        <f t="shared" si="139"/>
        <v>0</v>
      </c>
      <c r="O110" s="13">
        <f t="shared" si="140"/>
        <v>0</v>
      </c>
      <c r="P110" s="13">
        <f t="shared" si="141"/>
        <v>0</v>
      </c>
      <c r="Q110" s="13">
        <f t="shared" si="142"/>
        <v>0</v>
      </c>
      <c r="R110" s="13">
        <f t="shared" si="143"/>
        <v>0</v>
      </c>
      <c r="S110" s="13">
        <f t="shared" si="144"/>
        <v>0</v>
      </c>
      <c r="T110" s="13">
        <f t="shared" si="145"/>
        <v>0</v>
      </c>
      <c r="U110" s="13">
        <f t="shared" si="146"/>
        <v>0</v>
      </c>
      <c r="V110" s="13">
        <f t="shared" si="147"/>
        <v>0</v>
      </c>
      <c r="W110" s="14">
        <f t="shared" si="148"/>
        <v>0</v>
      </c>
      <c r="X110" s="154"/>
    </row>
    <row r="111" spans="2:25" ht="14.25" customHeight="1" x14ac:dyDescent="0.25">
      <c r="B111" s="277"/>
      <c r="C111" s="278"/>
      <c r="D111" s="279"/>
      <c r="E111" s="279"/>
      <c r="F111" s="280"/>
      <c r="G111" s="279"/>
      <c r="H111" s="281"/>
      <c r="I111" s="8">
        <f t="shared" ca="1" si="135"/>
        <v>0</v>
      </c>
      <c r="J111" s="9" t="str">
        <f t="shared" si="132"/>
        <v>INSERIR DATAS E TOT PARC</v>
      </c>
      <c r="K111" s="10" t="str">
        <f t="shared" si="136"/>
        <v>---</v>
      </c>
      <c r="L111" s="11">
        <f t="shared" si="137"/>
        <v>0</v>
      </c>
      <c r="M111" s="12">
        <f t="shared" si="138"/>
        <v>0</v>
      </c>
      <c r="N111" s="13">
        <f t="shared" si="139"/>
        <v>0</v>
      </c>
      <c r="O111" s="13">
        <f t="shared" si="140"/>
        <v>0</v>
      </c>
      <c r="P111" s="13">
        <f t="shared" si="141"/>
        <v>0</v>
      </c>
      <c r="Q111" s="13">
        <f t="shared" si="142"/>
        <v>0</v>
      </c>
      <c r="R111" s="13">
        <f t="shared" si="143"/>
        <v>0</v>
      </c>
      <c r="S111" s="13">
        <f t="shared" si="144"/>
        <v>0</v>
      </c>
      <c r="T111" s="13">
        <f t="shared" si="145"/>
        <v>0</v>
      </c>
      <c r="U111" s="13">
        <f t="shared" si="146"/>
        <v>0</v>
      </c>
      <c r="V111" s="13">
        <f t="shared" si="147"/>
        <v>0</v>
      </c>
      <c r="W111" s="14">
        <f t="shared" si="148"/>
        <v>0</v>
      </c>
      <c r="X111" s="154"/>
    </row>
    <row r="112" spans="2:25" ht="14.25" customHeight="1" x14ac:dyDescent="0.25">
      <c r="B112" s="277"/>
      <c r="C112" s="278"/>
      <c r="D112" s="279"/>
      <c r="E112" s="279"/>
      <c r="F112" s="280"/>
      <c r="G112" s="279"/>
      <c r="H112" s="281"/>
      <c r="I112" s="8">
        <f t="shared" ca="1" si="135"/>
        <v>0</v>
      </c>
      <c r="J112" s="9" t="str">
        <f t="shared" si="132"/>
        <v>INSERIR DATAS E TOT PARC</v>
      </c>
      <c r="K112" s="10" t="str">
        <f t="shared" si="136"/>
        <v>---</v>
      </c>
      <c r="L112" s="11">
        <f t="shared" si="137"/>
        <v>0</v>
      </c>
      <c r="M112" s="12">
        <f t="shared" si="138"/>
        <v>0</v>
      </c>
      <c r="N112" s="13">
        <f t="shared" si="139"/>
        <v>0</v>
      </c>
      <c r="O112" s="13">
        <f t="shared" si="140"/>
        <v>0</v>
      </c>
      <c r="P112" s="13">
        <f t="shared" si="141"/>
        <v>0</v>
      </c>
      <c r="Q112" s="13">
        <f t="shared" si="142"/>
        <v>0</v>
      </c>
      <c r="R112" s="13">
        <f t="shared" si="143"/>
        <v>0</v>
      </c>
      <c r="S112" s="13">
        <f t="shared" si="144"/>
        <v>0</v>
      </c>
      <c r="T112" s="13">
        <f t="shared" si="145"/>
        <v>0</v>
      </c>
      <c r="U112" s="13">
        <f t="shared" si="146"/>
        <v>0</v>
      </c>
      <c r="V112" s="13">
        <f t="shared" si="147"/>
        <v>0</v>
      </c>
      <c r="W112" s="14">
        <f t="shared" si="148"/>
        <v>0</v>
      </c>
      <c r="X112" s="154"/>
    </row>
    <row r="113" spans="2:24" ht="14.25" customHeight="1" x14ac:dyDescent="0.25">
      <c r="B113" s="277"/>
      <c r="C113" s="278"/>
      <c r="D113" s="279"/>
      <c r="E113" s="279"/>
      <c r="F113" s="280"/>
      <c r="G113" s="279"/>
      <c r="H113" s="281"/>
      <c r="I113" s="8">
        <f t="shared" ca="1" si="135"/>
        <v>0</v>
      </c>
      <c r="J113" s="9" t="str">
        <f t="shared" si="132"/>
        <v>INSERIR DATAS E TOT PARC</v>
      </c>
      <c r="K113" s="10" t="str">
        <f t="shared" si="136"/>
        <v>---</v>
      </c>
      <c r="L113" s="11">
        <f t="shared" si="137"/>
        <v>0</v>
      </c>
      <c r="M113" s="12">
        <f t="shared" si="138"/>
        <v>0</v>
      </c>
      <c r="N113" s="13">
        <f t="shared" si="139"/>
        <v>0</v>
      </c>
      <c r="O113" s="13">
        <f t="shared" si="140"/>
        <v>0</v>
      </c>
      <c r="P113" s="13">
        <f t="shared" si="141"/>
        <v>0</v>
      </c>
      <c r="Q113" s="13">
        <f t="shared" si="142"/>
        <v>0</v>
      </c>
      <c r="R113" s="13">
        <f t="shared" si="143"/>
        <v>0</v>
      </c>
      <c r="S113" s="13">
        <f t="shared" si="144"/>
        <v>0</v>
      </c>
      <c r="T113" s="13">
        <f t="shared" si="145"/>
        <v>0</v>
      </c>
      <c r="U113" s="13">
        <f t="shared" si="146"/>
        <v>0</v>
      </c>
      <c r="V113" s="13">
        <f t="shared" si="147"/>
        <v>0</v>
      </c>
      <c r="W113" s="14">
        <f t="shared" si="148"/>
        <v>0</v>
      </c>
      <c r="X113" s="154"/>
    </row>
    <row r="114" spans="2:24" ht="14.25" customHeight="1" x14ac:dyDescent="0.25">
      <c r="B114" s="277"/>
      <c r="C114" s="278"/>
      <c r="D114" s="279"/>
      <c r="E114" s="279"/>
      <c r="F114" s="280"/>
      <c r="G114" s="279"/>
      <c r="H114" s="281"/>
      <c r="I114" s="8">
        <f t="shared" ca="1" si="135"/>
        <v>0</v>
      </c>
      <c r="J114" s="9" t="str">
        <f t="shared" si="132"/>
        <v>INSERIR DATAS E TOT PARC</v>
      </c>
      <c r="K114" s="10" t="str">
        <f t="shared" si="136"/>
        <v>---</v>
      </c>
      <c r="L114" s="11">
        <f t="shared" si="137"/>
        <v>0</v>
      </c>
      <c r="M114" s="12">
        <f t="shared" si="138"/>
        <v>0</v>
      </c>
      <c r="N114" s="13">
        <f t="shared" si="139"/>
        <v>0</v>
      </c>
      <c r="O114" s="13">
        <f t="shared" si="140"/>
        <v>0</v>
      </c>
      <c r="P114" s="13">
        <f t="shared" si="141"/>
        <v>0</v>
      </c>
      <c r="Q114" s="13">
        <f t="shared" si="142"/>
        <v>0</v>
      </c>
      <c r="R114" s="13">
        <f t="shared" si="143"/>
        <v>0</v>
      </c>
      <c r="S114" s="13">
        <f t="shared" si="144"/>
        <v>0</v>
      </c>
      <c r="T114" s="13">
        <f t="shared" si="145"/>
        <v>0</v>
      </c>
      <c r="U114" s="13">
        <f t="shared" si="146"/>
        <v>0</v>
      </c>
      <c r="V114" s="13">
        <f t="shared" si="147"/>
        <v>0</v>
      </c>
      <c r="W114" s="14">
        <f t="shared" si="148"/>
        <v>0</v>
      </c>
      <c r="X114" s="154"/>
    </row>
    <row r="115" spans="2:24" ht="14.25" customHeight="1" x14ac:dyDescent="0.25">
      <c r="B115" s="277"/>
      <c r="C115" s="278"/>
      <c r="D115" s="279"/>
      <c r="E115" s="279"/>
      <c r="F115" s="280"/>
      <c r="G115" s="279"/>
      <c r="H115" s="281"/>
      <c r="I115" s="8">
        <f t="shared" ca="1" si="135"/>
        <v>0</v>
      </c>
      <c r="J115" s="9" t="str">
        <f t="shared" si="132"/>
        <v>INSERIR DATAS E TOT PARC</v>
      </c>
      <c r="K115" s="10" t="str">
        <f t="shared" si="136"/>
        <v>---</v>
      </c>
      <c r="L115" s="11">
        <f t="shared" si="137"/>
        <v>0</v>
      </c>
      <c r="M115" s="12">
        <f t="shared" si="138"/>
        <v>0</v>
      </c>
      <c r="N115" s="13">
        <f t="shared" si="139"/>
        <v>0</v>
      </c>
      <c r="O115" s="13">
        <f t="shared" si="140"/>
        <v>0</v>
      </c>
      <c r="P115" s="13">
        <f t="shared" si="141"/>
        <v>0</v>
      </c>
      <c r="Q115" s="13">
        <f t="shared" si="142"/>
        <v>0</v>
      </c>
      <c r="R115" s="13">
        <f t="shared" si="143"/>
        <v>0</v>
      </c>
      <c r="S115" s="13">
        <f t="shared" si="144"/>
        <v>0</v>
      </c>
      <c r="T115" s="13">
        <f t="shared" si="145"/>
        <v>0</v>
      </c>
      <c r="U115" s="13">
        <f t="shared" si="146"/>
        <v>0</v>
      </c>
      <c r="V115" s="13">
        <f t="shared" si="147"/>
        <v>0</v>
      </c>
      <c r="W115" s="14">
        <f t="shared" si="148"/>
        <v>0</v>
      </c>
      <c r="X115" s="154"/>
    </row>
    <row r="116" spans="2:24" ht="14.25" customHeight="1" x14ac:dyDescent="0.25">
      <c r="B116" s="277"/>
      <c r="C116" s="278"/>
      <c r="D116" s="279"/>
      <c r="E116" s="279"/>
      <c r="F116" s="280"/>
      <c r="G116" s="279"/>
      <c r="H116" s="281"/>
      <c r="I116" s="8">
        <f t="shared" ca="1" si="135"/>
        <v>0</v>
      </c>
      <c r="J116" s="9" t="str">
        <f t="shared" si="132"/>
        <v>INSERIR DATAS E TOT PARC</v>
      </c>
      <c r="K116" s="10" t="str">
        <f t="shared" si="136"/>
        <v>---</v>
      </c>
      <c r="L116" s="11">
        <f t="shared" si="137"/>
        <v>0</v>
      </c>
      <c r="M116" s="12">
        <f t="shared" si="138"/>
        <v>0</v>
      </c>
      <c r="N116" s="13">
        <f t="shared" si="139"/>
        <v>0</v>
      </c>
      <c r="O116" s="13">
        <f t="shared" si="140"/>
        <v>0</v>
      </c>
      <c r="P116" s="13">
        <f t="shared" si="141"/>
        <v>0</v>
      </c>
      <c r="Q116" s="13">
        <f t="shared" si="142"/>
        <v>0</v>
      </c>
      <c r="R116" s="13">
        <f t="shared" si="143"/>
        <v>0</v>
      </c>
      <c r="S116" s="13">
        <f t="shared" si="144"/>
        <v>0</v>
      </c>
      <c r="T116" s="13">
        <f t="shared" si="145"/>
        <v>0</v>
      </c>
      <c r="U116" s="13">
        <f t="shared" si="146"/>
        <v>0</v>
      </c>
      <c r="V116" s="13">
        <f t="shared" si="147"/>
        <v>0</v>
      </c>
      <c r="W116" s="14">
        <f t="shared" si="148"/>
        <v>0</v>
      </c>
      <c r="X116" s="154"/>
    </row>
    <row r="117" spans="2:24" ht="14.25" customHeight="1" x14ac:dyDescent="0.25">
      <c r="B117" s="277"/>
      <c r="C117" s="278"/>
      <c r="D117" s="279"/>
      <c r="E117" s="279"/>
      <c r="F117" s="280"/>
      <c r="G117" s="279"/>
      <c r="H117" s="281"/>
      <c r="I117" s="8">
        <f t="shared" ca="1" si="135"/>
        <v>0</v>
      </c>
      <c r="J117" s="9" t="str">
        <f t="shared" si="132"/>
        <v>INSERIR DATAS E TOT PARC</v>
      </c>
      <c r="K117" s="10" t="str">
        <f t="shared" si="136"/>
        <v>---</v>
      </c>
      <c r="L117" s="11">
        <f t="shared" si="137"/>
        <v>0</v>
      </c>
      <c r="M117" s="12">
        <f t="shared" si="138"/>
        <v>0</v>
      </c>
      <c r="N117" s="13">
        <f t="shared" si="139"/>
        <v>0</v>
      </c>
      <c r="O117" s="13">
        <f t="shared" si="140"/>
        <v>0</v>
      </c>
      <c r="P117" s="13">
        <f t="shared" si="141"/>
        <v>0</v>
      </c>
      <c r="Q117" s="13">
        <f t="shared" si="142"/>
        <v>0</v>
      </c>
      <c r="R117" s="13">
        <f t="shared" si="143"/>
        <v>0</v>
      </c>
      <c r="S117" s="13">
        <f t="shared" si="144"/>
        <v>0</v>
      </c>
      <c r="T117" s="13">
        <f t="shared" si="145"/>
        <v>0</v>
      </c>
      <c r="U117" s="13">
        <f t="shared" si="146"/>
        <v>0</v>
      </c>
      <c r="V117" s="13">
        <f t="shared" si="147"/>
        <v>0</v>
      </c>
      <c r="W117" s="14">
        <f t="shared" si="148"/>
        <v>0</v>
      </c>
      <c r="X117" s="154"/>
    </row>
    <row r="118" spans="2:24" ht="14.25" customHeight="1" x14ac:dyDescent="0.25">
      <c r="B118" s="277"/>
      <c r="C118" s="278"/>
      <c r="D118" s="279"/>
      <c r="E118" s="279"/>
      <c r="F118" s="280"/>
      <c r="G118" s="279"/>
      <c r="H118" s="281"/>
      <c r="I118" s="8">
        <f t="shared" ca="1" si="135"/>
        <v>0</v>
      </c>
      <c r="J118" s="9" t="str">
        <f t="shared" si="132"/>
        <v>INSERIR DATAS E TOT PARC</v>
      </c>
      <c r="K118" s="10" t="str">
        <f t="shared" si="136"/>
        <v>---</v>
      </c>
      <c r="L118" s="11">
        <f t="shared" si="137"/>
        <v>0</v>
      </c>
      <c r="M118" s="12">
        <f t="shared" si="138"/>
        <v>0</v>
      </c>
      <c r="N118" s="13">
        <f t="shared" si="139"/>
        <v>0</v>
      </c>
      <c r="O118" s="13">
        <f t="shared" si="140"/>
        <v>0</v>
      </c>
      <c r="P118" s="13">
        <f t="shared" si="141"/>
        <v>0</v>
      </c>
      <c r="Q118" s="13">
        <f t="shared" si="142"/>
        <v>0</v>
      </c>
      <c r="R118" s="13">
        <f t="shared" si="143"/>
        <v>0</v>
      </c>
      <c r="S118" s="13">
        <f t="shared" si="144"/>
        <v>0</v>
      </c>
      <c r="T118" s="13">
        <f t="shared" si="145"/>
        <v>0</v>
      </c>
      <c r="U118" s="13">
        <f t="shared" si="146"/>
        <v>0</v>
      </c>
      <c r="V118" s="13">
        <f t="shared" si="147"/>
        <v>0</v>
      </c>
      <c r="W118" s="14">
        <f t="shared" si="148"/>
        <v>0</v>
      </c>
      <c r="X118" s="154"/>
    </row>
    <row r="119" spans="2:24" s="131" customFormat="1" ht="14.25" customHeight="1" x14ac:dyDescent="0.25">
      <c r="B119" s="277"/>
      <c r="C119" s="278"/>
      <c r="D119" s="279"/>
      <c r="E119" s="279"/>
      <c r="F119" s="280"/>
      <c r="G119" s="279"/>
      <c r="H119" s="281"/>
      <c r="I119" s="8">
        <f t="shared" ca="1" si="135"/>
        <v>0</v>
      </c>
      <c r="J119" s="9" t="str">
        <f t="shared" si="132"/>
        <v>INSERIR DATAS E TOT PARC</v>
      </c>
      <c r="K119" s="10" t="str">
        <f t="shared" si="136"/>
        <v>---</v>
      </c>
      <c r="L119" s="11">
        <f t="shared" si="137"/>
        <v>0</v>
      </c>
      <c r="M119" s="12">
        <f t="shared" si="138"/>
        <v>0</v>
      </c>
      <c r="N119" s="13">
        <f t="shared" si="139"/>
        <v>0</v>
      </c>
      <c r="O119" s="13">
        <f t="shared" si="140"/>
        <v>0</v>
      </c>
      <c r="P119" s="13">
        <f t="shared" si="141"/>
        <v>0</v>
      </c>
      <c r="Q119" s="13">
        <f t="shared" si="142"/>
        <v>0</v>
      </c>
      <c r="R119" s="13">
        <f t="shared" si="143"/>
        <v>0</v>
      </c>
      <c r="S119" s="13">
        <f t="shared" si="144"/>
        <v>0</v>
      </c>
      <c r="T119" s="13">
        <f t="shared" si="145"/>
        <v>0</v>
      </c>
      <c r="U119" s="13">
        <f t="shared" si="146"/>
        <v>0</v>
      </c>
      <c r="V119" s="13">
        <f t="shared" si="147"/>
        <v>0</v>
      </c>
      <c r="W119" s="14">
        <f t="shared" si="148"/>
        <v>0</v>
      </c>
      <c r="X119" s="154"/>
    </row>
    <row r="120" spans="2:24" s="139" customFormat="1" ht="14.25" customHeight="1" x14ac:dyDescent="0.25">
      <c r="B120" s="277"/>
      <c r="C120" s="278"/>
      <c r="D120" s="279"/>
      <c r="E120" s="279"/>
      <c r="F120" s="280"/>
      <c r="G120" s="279"/>
      <c r="H120" s="281"/>
      <c r="I120" s="8">
        <f t="shared" ref="I120:I123" ca="1" si="149">IF(AND(F120="anual",MONTH(B120)&lt;&gt;$D$2),0,IF(OR(J120=0,J120="TOTALMENTE PAGA"),0,H120))</f>
        <v>0</v>
      </c>
      <c r="J120" s="9" t="str">
        <f t="shared" ref="J120:J123" si="150">IF(OR(G120=0,B120=0,F120=0),"INSERIR DATAS E TOT PARC",IF(OR(F120="mensal",F120="anual"),IF(F120="anual",IF(OR(AND((MONTH(B120)=MONTH($A$2)),(DAY(B120)&gt;DAY($A$2))),AND((MONTH(B120)-1=MONTH($A$2)),(DAY(B120)&lt;=DAY($A$2)))),1,0),1),IF(B120&gt;G120,"DATAS INVALIDAS",IF(OR($A$2&lt;EDATE(G120,-1),$A$2=EDATE(G120,-1)),0,IF(OR($A$2&lt;G120,$A$2=G120),1,IF(DAY($A$2)&lt;5,IF(((YEAR($A$2)-YEAR(G120))*12+(MONTH($A$2)-MONTH(G120)+1))&gt;F120,"TOTALMENTE PAGA",(YEAR($A$2)-YEAR(G120))*12+(MONTH($A$2)-MONTH(G120)+1)),IF(($A$2&gt;K120),"TOTALMENTE PAGA",(YEAR($A$2)-YEAR(G120))*12+(MONTH($A$2)-MONTH(G120)+2))))))))</f>
        <v>INSERIR DATAS E TOT PARC</v>
      </c>
      <c r="K120" s="10" t="str">
        <f t="shared" ref="K120:K123" si="151">IF(OR(F120="anual",F120="mensal",B120=0),"---",EDATE(G120,F120-1))</f>
        <v>---</v>
      </c>
      <c r="L120" s="11">
        <f t="shared" ref="L120:L123" si="152">IF(OR(F120="mensal",F120="anual"),IF(J120=1,H120,0),IF(H120=0,0,IF(J120="TOTALMENTE PAGA",0,(F120-J120)*H120)))</f>
        <v>0</v>
      </c>
      <c r="M120" s="12">
        <f t="shared" ref="M120:M123" si="153">IF(F120="anual",IF(MONTH(B120)=$M$3,H120,0),IF(F120="mensal",I120,IF(K120="---",0,IF($M$2&lt;YEAR(K120),H120,IF($M$2=YEAR(K120),IF(OR($M$3&lt;MONTH(K120),$M$3=MONTH(K120)),H120,0),0)))))</f>
        <v>0</v>
      </c>
      <c r="N120" s="13">
        <f t="shared" ref="N120:N123" si="154">IF(F120="anual",IF(MONTH(B120)=$N$3,H120,0),IF(F120="mensal",I120,IF(K120="---",0,IF($N$2&lt;YEAR(K120),H120,IF($N$2=YEAR(K120),IF(OR($N$3&lt;MONTH(K120),$N$3=MONTH(K120)),H120,0),0)))))</f>
        <v>0</v>
      </c>
      <c r="O120" s="13">
        <f t="shared" ref="O120:O123" si="155">IF(F120="anual",IF(MONTH(B120)=$O$3,H120,0),IF(F120="mensal",I120,IF(K120="---",0,IF($O$2&lt;YEAR(K120),H120,IF($O$2=YEAR(K120),IF(OR($O$3&lt;MONTH(K120),$O$3=MONTH(K120)),H120,0),0)))))</f>
        <v>0</v>
      </c>
      <c r="P120" s="13">
        <f t="shared" ref="P120:P123" si="156">IF(F120="anual",IF(MONTH(B120)=$P$3,H120,0),IF(F120="mensal",I120,IF(K120="---",0,IF($P$2&lt;YEAR(K120),H120,IF($P$2=YEAR(K120),IF(OR($P$3&lt;MONTH(K120),$P$3=MONTH(K120)),H120,0),0)))))</f>
        <v>0</v>
      </c>
      <c r="Q120" s="13">
        <f t="shared" ref="Q120:Q123" si="157">IF(F120="anual",IF(MONTH(B120)=$Q$3,H120,0),IF(F120="mensal",I120,IF(K120="---",0,IF($Q$2&lt;YEAR(K120),H120,IF($Q$2=YEAR(K120),IF(OR($Q$3&lt;MONTH(K120),$Q$3=MONTH(K120)),H120,0),0)))))</f>
        <v>0</v>
      </c>
      <c r="R120" s="13">
        <f t="shared" ref="R120:R123" si="158">IF(F120="anual",IF(MONTH(B120)=$R$3,H120,0),IF(F120="mensal",I120,IF(K120="---",0,IF($R$2&lt;YEAR(K120),H120,IF($R$2=YEAR(K120),IF(OR($R$3&lt;MONTH(K120),$R$3=MONTH(K120)),H120,0),0)))))</f>
        <v>0</v>
      </c>
      <c r="S120" s="13">
        <f t="shared" ref="S120:S123" si="159">IF(F120="anual",IF(MONTH(B120)=$S$3,H120,0),IF(F120="mensal",I120,IF(K120="---",0,IF($S$2&lt;YEAR(K120),H120,IF($S$2=YEAR(K120),IF(OR($S$3&lt;MONTH(K120),$S$3=MONTH(K120)),H120,0),0)))))</f>
        <v>0</v>
      </c>
      <c r="T120" s="13">
        <f t="shared" ref="T120:T123" si="160">IF(F120="anual",IF(MONTH(B120)=$T$3,H120,0),IF(F120="mensal",I120,IF(K120="---",0,IF($T$2&lt;YEAR(K120),H120,IF($T$2=YEAR(K120),IF(OR($T$3&lt;MONTH(K120),$T$3=MONTH(K120)),H120,0),0)))))</f>
        <v>0</v>
      </c>
      <c r="U120" s="13">
        <f t="shared" ref="U120:U123" si="161">IF(F120="anual",IF(MONTH(B120)=$U$3,H120,0),IF(F120="mensal",I120,IF(K120="---",0,IF($U$2&lt;YEAR(K120),H120,IF($U$2=YEAR(K120),IF(OR($U$3&lt;MONTH(K120),$U$3=MONTH(K120)),H120,0),0)))))</f>
        <v>0</v>
      </c>
      <c r="V120" s="13">
        <f t="shared" ref="V120:V123" si="162">IF(F120="anual",IF(MONTH(B120)=$V$3,H120,0),IF(F120="mensal",I120,IF(K120="---",0,IF($V$2&lt;YEAR(K120),H120,IF($V$2=YEAR(K120),IF(OR($V$3&lt;MONTH(K120),$V$3=MONTH(K120)),H120,0),0)))))</f>
        <v>0</v>
      </c>
      <c r="W120" s="14">
        <f t="shared" ref="W120:W123" si="163">IF(F120="anual",IF(MONTH(B120)=$W$3,H120,0),IF(F120="mensal",I120,IF(K120="---",0,IF($W$2&lt;YEAR(K120),H120,IF($W$2=YEAR(K120),IF(OR($W$3&lt;MONTH(K120),$W$3=MONTH(K120)),H120,0),0)))))</f>
        <v>0</v>
      </c>
      <c r="X120" s="154"/>
    </row>
    <row r="121" spans="2:24" s="139" customFormat="1" ht="14.25" customHeight="1" x14ac:dyDescent="0.25">
      <c r="B121" s="277"/>
      <c r="C121" s="278"/>
      <c r="D121" s="279"/>
      <c r="E121" s="279"/>
      <c r="F121" s="280"/>
      <c r="G121" s="279"/>
      <c r="H121" s="281"/>
      <c r="I121" s="8">
        <f t="shared" ca="1" si="149"/>
        <v>0</v>
      </c>
      <c r="J121" s="9" t="str">
        <f t="shared" si="150"/>
        <v>INSERIR DATAS E TOT PARC</v>
      </c>
      <c r="K121" s="10" t="str">
        <f t="shared" si="151"/>
        <v>---</v>
      </c>
      <c r="L121" s="11">
        <f t="shared" si="152"/>
        <v>0</v>
      </c>
      <c r="M121" s="12">
        <f t="shared" si="153"/>
        <v>0</v>
      </c>
      <c r="N121" s="13">
        <f t="shared" si="154"/>
        <v>0</v>
      </c>
      <c r="O121" s="13">
        <f t="shared" si="155"/>
        <v>0</v>
      </c>
      <c r="P121" s="13">
        <f t="shared" si="156"/>
        <v>0</v>
      </c>
      <c r="Q121" s="13">
        <f t="shared" si="157"/>
        <v>0</v>
      </c>
      <c r="R121" s="13">
        <f t="shared" si="158"/>
        <v>0</v>
      </c>
      <c r="S121" s="13">
        <f t="shared" si="159"/>
        <v>0</v>
      </c>
      <c r="T121" s="13">
        <f t="shared" si="160"/>
        <v>0</v>
      </c>
      <c r="U121" s="13">
        <f t="shared" si="161"/>
        <v>0</v>
      </c>
      <c r="V121" s="13">
        <f t="shared" si="162"/>
        <v>0</v>
      </c>
      <c r="W121" s="14">
        <f t="shared" si="163"/>
        <v>0</v>
      </c>
      <c r="X121" s="154"/>
    </row>
    <row r="122" spans="2:24" s="139" customFormat="1" ht="14.25" customHeight="1" x14ac:dyDescent="0.25">
      <c r="B122" s="277"/>
      <c r="C122" s="278"/>
      <c r="D122" s="279"/>
      <c r="E122" s="279"/>
      <c r="F122" s="280"/>
      <c r="G122" s="279"/>
      <c r="H122" s="281"/>
      <c r="I122" s="8">
        <f t="shared" ca="1" si="149"/>
        <v>0</v>
      </c>
      <c r="J122" s="9" t="str">
        <f t="shared" si="150"/>
        <v>INSERIR DATAS E TOT PARC</v>
      </c>
      <c r="K122" s="10" t="str">
        <f t="shared" si="151"/>
        <v>---</v>
      </c>
      <c r="L122" s="11">
        <f t="shared" si="152"/>
        <v>0</v>
      </c>
      <c r="M122" s="12">
        <f t="shared" si="153"/>
        <v>0</v>
      </c>
      <c r="N122" s="13">
        <f t="shared" si="154"/>
        <v>0</v>
      </c>
      <c r="O122" s="13">
        <f t="shared" si="155"/>
        <v>0</v>
      </c>
      <c r="P122" s="13">
        <f t="shared" si="156"/>
        <v>0</v>
      </c>
      <c r="Q122" s="13">
        <f t="shared" si="157"/>
        <v>0</v>
      </c>
      <c r="R122" s="13">
        <f t="shared" si="158"/>
        <v>0</v>
      </c>
      <c r="S122" s="13">
        <f t="shared" si="159"/>
        <v>0</v>
      </c>
      <c r="T122" s="13">
        <f t="shared" si="160"/>
        <v>0</v>
      </c>
      <c r="U122" s="13">
        <f t="shared" si="161"/>
        <v>0</v>
      </c>
      <c r="V122" s="13">
        <f t="shared" si="162"/>
        <v>0</v>
      </c>
      <c r="W122" s="14">
        <f t="shared" si="163"/>
        <v>0</v>
      </c>
      <c r="X122" s="154"/>
    </row>
    <row r="123" spans="2:24" s="139" customFormat="1" ht="14.25" customHeight="1" x14ac:dyDescent="0.25">
      <c r="B123" s="277"/>
      <c r="C123" s="278"/>
      <c r="D123" s="279"/>
      <c r="E123" s="279"/>
      <c r="F123" s="280"/>
      <c r="G123" s="279"/>
      <c r="H123" s="281"/>
      <c r="I123" s="8">
        <f t="shared" ca="1" si="149"/>
        <v>0</v>
      </c>
      <c r="J123" s="9" t="str">
        <f t="shared" si="150"/>
        <v>INSERIR DATAS E TOT PARC</v>
      </c>
      <c r="K123" s="10" t="str">
        <f t="shared" si="151"/>
        <v>---</v>
      </c>
      <c r="L123" s="11">
        <f t="shared" si="152"/>
        <v>0</v>
      </c>
      <c r="M123" s="12">
        <f t="shared" si="153"/>
        <v>0</v>
      </c>
      <c r="N123" s="13">
        <f t="shared" si="154"/>
        <v>0</v>
      </c>
      <c r="O123" s="13">
        <f t="shared" si="155"/>
        <v>0</v>
      </c>
      <c r="P123" s="13">
        <f t="shared" si="156"/>
        <v>0</v>
      </c>
      <c r="Q123" s="13">
        <f t="shared" si="157"/>
        <v>0</v>
      </c>
      <c r="R123" s="13">
        <f t="shared" si="158"/>
        <v>0</v>
      </c>
      <c r="S123" s="13">
        <f t="shared" si="159"/>
        <v>0</v>
      </c>
      <c r="T123" s="13">
        <f t="shared" si="160"/>
        <v>0</v>
      </c>
      <c r="U123" s="13">
        <f t="shared" si="161"/>
        <v>0</v>
      </c>
      <c r="V123" s="13">
        <f t="shared" si="162"/>
        <v>0</v>
      </c>
      <c r="W123" s="14">
        <f t="shared" si="163"/>
        <v>0</v>
      </c>
      <c r="X123" s="154"/>
    </row>
    <row r="124" spans="2:24" s="131" customFormat="1" ht="14.25" customHeight="1" x14ac:dyDescent="0.25">
      <c r="B124" s="277"/>
      <c r="C124" s="278"/>
      <c r="D124" s="279"/>
      <c r="E124" s="279"/>
      <c r="F124" s="280"/>
      <c r="G124" s="279"/>
      <c r="H124" s="281"/>
      <c r="I124" s="8">
        <f t="shared" ca="1" si="135"/>
        <v>0</v>
      </c>
      <c r="J124" s="9" t="str">
        <f t="shared" si="132"/>
        <v>INSERIR DATAS E TOT PARC</v>
      </c>
      <c r="K124" s="10" t="str">
        <f t="shared" si="136"/>
        <v>---</v>
      </c>
      <c r="L124" s="11">
        <f t="shared" si="137"/>
        <v>0</v>
      </c>
      <c r="M124" s="12">
        <f t="shared" si="138"/>
        <v>0</v>
      </c>
      <c r="N124" s="13">
        <f t="shared" si="139"/>
        <v>0</v>
      </c>
      <c r="O124" s="13">
        <f t="shared" si="140"/>
        <v>0</v>
      </c>
      <c r="P124" s="13">
        <f t="shared" si="141"/>
        <v>0</v>
      </c>
      <c r="Q124" s="13">
        <f t="shared" si="142"/>
        <v>0</v>
      </c>
      <c r="R124" s="13">
        <f t="shared" si="143"/>
        <v>0</v>
      </c>
      <c r="S124" s="13">
        <f t="shared" si="144"/>
        <v>0</v>
      </c>
      <c r="T124" s="13">
        <f t="shared" si="145"/>
        <v>0</v>
      </c>
      <c r="U124" s="13">
        <f t="shared" si="146"/>
        <v>0</v>
      </c>
      <c r="V124" s="13">
        <f t="shared" si="147"/>
        <v>0</v>
      </c>
      <c r="W124" s="14">
        <f t="shared" si="148"/>
        <v>0</v>
      </c>
      <c r="X124" s="154"/>
    </row>
    <row r="125" spans="2:24" s="131" customFormat="1" ht="14.25" customHeight="1" x14ac:dyDescent="0.25">
      <c r="B125" s="277"/>
      <c r="C125" s="278"/>
      <c r="D125" s="279"/>
      <c r="E125" s="279"/>
      <c r="F125" s="280"/>
      <c r="G125" s="279"/>
      <c r="H125" s="281"/>
      <c r="I125" s="8">
        <f t="shared" ca="1" si="135"/>
        <v>0</v>
      </c>
      <c r="J125" s="9" t="str">
        <f t="shared" si="132"/>
        <v>INSERIR DATAS E TOT PARC</v>
      </c>
      <c r="K125" s="10" t="str">
        <f t="shared" si="136"/>
        <v>---</v>
      </c>
      <c r="L125" s="11">
        <f t="shared" si="137"/>
        <v>0</v>
      </c>
      <c r="M125" s="12">
        <f t="shared" si="138"/>
        <v>0</v>
      </c>
      <c r="N125" s="13">
        <f t="shared" si="139"/>
        <v>0</v>
      </c>
      <c r="O125" s="13">
        <f t="shared" si="140"/>
        <v>0</v>
      </c>
      <c r="P125" s="13">
        <f t="shared" si="141"/>
        <v>0</v>
      </c>
      <c r="Q125" s="13">
        <f t="shared" si="142"/>
        <v>0</v>
      </c>
      <c r="R125" s="13">
        <f t="shared" si="143"/>
        <v>0</v>
      </c>
      <c r="S125" s="13">
        <f t="shared" si="144"/>
        <v>0</v>
      </c>
      <c r="T125" s="13">
        <f t="shared" si="145"/>
        <v>0</v>
      </c>
      <c r="U125" s="13">
        <f t="shared" si="146"/>
        <v>0</v>
      </c>
      <c r="V125" s="13">
        <f t="shared" si="147"/>
        <v>0</v>
      </c>
      <c r="W125" s="14">
        <f t="shared" si="148"/>
        <v>0</v>
      </c>
      <c r="X125" s="154"/>
    </row>
    <row r="126" spans="2:24" s="131" customFormat="1" ht="14.25" customHeight="1" x14ac:dyDescent="0.25">
      <c r="B126" s="277"/>
      <c r="C126" s="278"/>
      <c r="D126" s="279"/>
      <c r="E126" s="279"/>
      <c r="F126" s="280"/>
      <c r="G126" s="279"/>
      <c r="H126" s="281"/>
      <c r="I126" s="8">
        <f t="shared" ca="1" si="135"/>
        <v>0</v>
      </c>
      <c r="J126" s="9" t="str">
        <f t="shared" si="132"/>
        <v>INSERIR DATAS E TOT PARC</v>
      </c>
      <c r="K126" s="10" t="str">
        <f t="shared" si="136"/>
        <v>---</v>
      </c>
      <c r="L126" s="11">
        <f t="shared" si="137"/>
        <v>0</v>
      </c>
      <c r="M126" s="12">
        <f t="shared" si="138"/>
        <v>0</v>
      </c>
      <c r="N126" s="13">
        <f t="shared" si="139"/>
        <v>0</v>
      </c>
      <c r="O126" s="13">
        <f t="shared" si="140"/>
        <v>0</v>
      </c>
      <c r="P126" s="13">
        <f t="shared" si="141"/>
        <v>0</v>
      </c>
      <c r="Q126" s="13">
        <f t="shared" si="142"/>
        <v>0</v>
      </c>
      <c r="R126" s="13">
        <f t="shared" si="143"/>
        <v>0</v>
      </c>
      <c r="S126" s="13">
        <f t="shared" si="144"/>
        <v>0</v>
      </c>
      <c r="T126" s="13">
        <f t="shared" si="145"/>
        <v>0</v>
      </c>
      <c r="U126" s="13">
        <f t="shared" si="146"/>
        <v>0</v>
      </c>
      <c r="V126" s="13">
        <f t="shared" si="147"/>
        <v>0</v>
      </c>
      <c r="W126" s="14">
        <f t="shared" si="148"/>
        <v>0</v>
      </c>
      <c r="X126" s="154"/>
    </row>
    <row r="127" spans="2:24" ht="14.25" customHeight="1" x14ac:dyDescent="0.25">
      <c r="B127" s="282"/>
      <c r="C127" s="283"/>
      <c r="D127" s="284"/>
      <c r="E127" s="284"/>
      <c r="F127" s="285"/>
      <c r="G127" s="279"/>
      <c r="H127" s="286"/>
      <c r="I127" s="8">
        <f t="shared" ca="1" si="135"/>
        <v>0</v>
      </c>
      <c r="J127" s="9" t="str">
        <f t="shared" si="132"/>
        <v>INSERIR DATAS E TOT PARC</v>
      </c>
      <c r="K127" s="10" t="str">
        <f t="shared" si="136"/>
        <v>---</v>
      </c>
      <c r="L127" s="11">
        <f t="shared" si="137"/>
        <v>0</v>
      </c>
      <c r="M127" s="12">
        <f t="shared" si="138"/>
        <v>0</v>
      </c>
      <c r="N127" s="13">
        <f t="shared" si="139"/>
        <v>0</v>
      </c>
      <c r="O127" s="13">
        <f t="shared" si="140"/>
        <v>0</v>
      </c>
      <c r="P127" s="13">
        <f t="shared" si="141"/>
        <v>0</v>
      </c>
      <c r="Q127" s="13">
        <f t="shared" si="142"/>
        <v>0</v>
      </c>
      <c r="R127" s="13">
        <f t="shared" si="143"/>
        <v>0</v>
      </c>
      <c r="S127" s="13">
        <f t="shared" si="144"/>
        <v>0</v>
      </c>
      <c r="T127" s="13">
        <f t="shared" si="145"/>
        <v>0</v>
      </c>
      <c r="U127" s="13">
        <f t="shared" si="146"/>
        <v>0</v>
      </c>
      <c r="V127" s="13">
        <f t="shared" si="147"/>
        <v>0</v>
      </c>
      <c r="W127" s="14">
        <f t="shared" si="148"/>
        <v>0</v>
      </c>
      <c r="X127" s="154"/>
    </row>
    <row r="128" spans="2:24" s="140" customFormat="1" ht="14.25" customHeight="1" x14ac:dyDescent="0.25">
      <c r="B128" s="282"/>
      <c r="C128" s="283"/>
      <c r="D128" s="284"/>
      <c r="E128" s="284"/>
      <c r="F128" s="285"/>
      <c r="G128" s="279"/>
      <c r="H128" s="286"/>
      <c r="I128" s="8">
        <f t="shared" ref="I128:I150" ca="1" si="164">IF(AND(F128="anual",MONTH(B128)&lt;&gt;$D$2),0,IF(OR(J128=0,J128="TOTALMENTE PAGA"),0,H128))</f>
        <v>0</v>
      </c>
      <c r="J128" s="9" t="str">
        <f t="shared" ref="J128:J150" si="165">IF(OR(G128=0,B128=0,F128=0),"INSERIR DATAS E TOT PARC",IF(OR(F128="mensal",F128="anual"),IF(F128="anual",IF(OR(AND((MONTH(B128)=MONTH($A$2)),(DAY(B128)&gt;DAY($A$2))),AND((MONTH(B128)-1=MONTH($A$2)),(DAY(B128)&lt;=DAY($A$2)))),1,0),1),IF(B128&gt;G128,"DATAS INVALIDAS",IF(OR($A$2&lt;EDATE(G128,-1),$A$2=EDATE(G128,-1)),0,IF(OR($A$2&lt;G128,$A$2=G128),1,IF(DAY($A$2)&lt;5,IF(((YEAR($A$2)-YEAR(G128))*12+(MONTH($A$2)-MONTH(G128)+1))&gt;F128,"TOTALMENTE PAGA",(YEAR($A$2)-YEAR(G128))*12+(MONTH($A$2)-MONTH(G128)+1)),IF(($A$2&gt;K128),"TOTALMENTE PAGA",(YEAR($A$2)-YEAR(G128))*12+(MONTH($A$2)-MONTH(G128)+2))))))))</f>
        <v>INSERIR DATAS E TOT PARC</v>
      </c>
      <c r="K128" s="10" t="str">
        <f t="shared" ref="K128:K150" si="166">IF(OR(F128="anual",F128="mensal",B128=0),"---",EDATE(G128,F128-1))</f>
        <v>---</v>
      </c>
      <c r="L128" s="11">
        <f t="shared" ref="L128:L150" si="167">IF(OR(F128="mensal",F128="anual"),IF(J128=1,H128,0),IF(H128=0,0,IF(J128="TOTALMENTE PAGA",0,(F128-J128)*H128)))</f>
        <v>0</v>
      </c>
      <c r="M128" s="12">
        <f t="shared" ref="M128:M150" si="168">IF(F128="anual",IF(MONTH(B128)=$M$3,H128,0),IF(F128="mensal",I128,IF(K128="---",0,IF($M$2&lt;YEAR(K128),H128,IF($M$2=YEAR(K128),IF(OR($M$3&lt;MONTH(K128),$M$3=MONTH(K128)),H128,0),0)))))</f>
        <v>0</v>
      </c>
      <c r="N128" s="13">
        <f t="shared" ref="N128:N150" si="169">IF(F128="anual",IF(MONTH(B128)=$N$3,H128,0),IF(F128="mensal",I128,IF(K128="---",0,IF($N$2&lt;YEAR(K128),H128,IF($N$2=YEAR(K128),IF(OR($N$3&lt;MONTH(K128),$N$3=MONTH(K128)),H128,0),0)))))</f>
        <v>0</v>
      </c>
      <c r="O128" s="13">
        <f t="shared" ref="O128:O150" si="170">IF(F128="anual",IF(MONTH(B128)=$O$3,H128,0),IF(F128="mensal",I128,IF(K128="---",0,IF($O$2&lt;YEAR(K128),H128,IF($O$2=YEAR(K128),IF(OR($O$3&lt;MONTH(K128),$O$3=MONTH(K128)),H128,0),0)))))</f>
        <v>0</v>
      </c>
      <c r="P128" s="13">
        <f t="shared" ref="P128:P150" si="171">IF(F128="anual",IF(MONTH(B128)=$P$3,H128,0),IF(F128="mensal",I128,IF(K128="---",0,IF($P$2&lt;YEAR(K128),H128,IF($P$2=YEAR(K128),IF(OR($P$3&lt;MONTH(K128),$P$3=MONTH(K128)),H128,0),0)))))</f>
        <v>0</v>
      </c>
      <c r="Q128" s="13">
        <f t="shared" ref="Q128:Q150" si="172">IF(F128="anual",IF(MONTH(B128)=$Q$3,H128,0),IF(F128="mensal",I128,IF(K128="---",0,IF($Q$2&lt;YEAR(K128),H128,IF($Q$2=YEAR(K128),IF(OR($Q$3&lt;MONTH(K128),$Q$3=MONTH(K128)),H128,0),0)))))</f>
        <v>0</v>
      </c>
      <c r="R128" s="13">
        <f t="shared" ref="R128:R150" si="173">IF(F128="anual",IF(MONTH(B128)=$R$3,H128,0),IF(F128="mensal",I128,IF(K128="---",0,IF($R$2&lt;YEAR(K128),H128,IF($R$2=YEAR(K128),IF(OR($R$3&lt;MONTH(K128),$R$3=MONTH(K128)),H128,0),0)))))</f>
        <v>0</v>
      </c>
      <c r="S128" s="13">
        <f t="shared" ref="S128:S150" si="174">IF(F128="anual",IF(MONTH(B128)=$S$3,H128,0),IF(F128="mensal",I128,IF(K128="---",0,IF($S$2&lt;YEAR(K128),H128,IF($S$2=YEAR(K128),IF(OR($S$3&lt;MONTH(K128),$S$3=MONTH(K128)),H128,0),0)))))</f>
        <v>0</v>
      </c>
      <c r="T128" s="13">
        <f t="shared" ref="T128:T150" si="175">IF(F128="anual",IF(MONTH(B128)=$T$3,H128,0),IF(F128="mensal",I128,IF(K128="---",0,IF($T$2&lt;YEAR(K128),H128,IF($T$2=YEAR(K128),IF(OR($T$3&lt;MONTH(K128),$T$3=MONTH(K128)),H128,0),0)))))</f>
        <v>0</v>
      </c>
      <c r="U128" s="13">
        <f t="shared" ref="U128:U150" si="176">IF(F128="anual",IF(MONTH(B128)=$U$3,H128,0),IF(F128="mensal",I128,IF(K128="---",0,IF($U$2&lt;YEAR(K128),H128,IF($U$2=YEAR(K128),IF(OR($U$3&lt;MONTH(K128),$U$3=MONTH(K128)),H128,0),0)))))</f>
        <v>0</v>
      </c>
      <c r="V128" s="13">
        <f t="shared" ref="V128:V150" si="177">IF(F128="anual",IF(MONTH(B128)=$V$3,H128,0),IF(F128="mensal",I128,IF(K128="---",0,IF($V$2&lt;YEAR(K128),H128,IF($V$2=YEAR(K128),IF(OR($V$3&lt;MONTH(K128),$V$3=MONTH(K128)),H128,0),0)))))</f>
        <v>0</v>
      </c>
      <c r="W128" s="14">
        <f t="shared" ref="W128:W150" si="178">IF(F128="anual",IF(MONTH(B128)=$W$3,H128,0),IF(F128="mensal",I128,IF(K128="---",0,IF($W$2&lt;YEAR(K128),H128,IF($W$2=YEAR(K128),IF(OR($W$3&lt;MONTH(K128),$W$3=MONTH(K128)),H128,0),0)))))</f>
        <v>0</v>
      </c>
      <c r="X128" s="154"/>
    </row>
    <row r="129" spans="2:24" s="140" customFormat="1" ht="14.25" customHeight="1" x14ac:dyDescent="0.25">
      <c r="B129" s="282"/>
      <c r="C129" s="283"/>
      <c r="D129" s="284"/>
      <c r="E129" s="284"/>
      <c r="F129" s="285"/>
      <c r="G129" s="284"/>
      <c r="H129" s="286"/>
      <c r="I129" s="8">
        <f t="shared" ca="1" si="164"/>
        <v>0</v>
      </c>
      <c r="J129" s="9" t="str">
        <f t="shared" si="165"/>
        <v>INSERIR DATAS E TOT PARC</v>
      </c>
      <c r="K129" s="10" t="str">
        <f t="shared" si="166"/>
        <v>---</v>
      </c>
      <c r="L129" s="11">
        <f t="shared" si="167"/>
        <v>0</v>
      </c>
      <c r="M129" s="12">
        <f t="shared" si="168"/>
        <v>0</v>
      </c>
      <c r="N129" s="13">
        <f t="shared" si="169"/>
        <v>0</v>
      </c>
      <c r="O129" s="13">
        <f t="shared" si="170"/>
        <v>0</v>
      </c>
      <c r="P129" s="13">
        <f t="shared" si="171"/>
        <v>0</v>
      </c>
      <c r="Q129" s="13">
        <f t="shared" si="172"/>
        <v>0</v>
      </c>
      <c r="R129" s="13">
        <f t="shared" si="173"/>
        <v>0</v>
      </c>
      <c r="S129" s="13">
        <f t="shared" si="174"/>
        <v>0</v>
      </c>
      <c r="T129" s="13">
        <f t="shared" si="175"/>
        <v>0</v>
      </c>
      <c r="U129" s="13">
        <f t="shared" si="176"/>
        <v>0</v>
      </c>
      <c r="V129" s="13">
        <f t="shared" si="177"/>
        <v>0</v>
      </c>
      <c r="W129" s="14">
        <f t="shared" si="178"/>
        <v>0</v>
      </c>
      <c r="X129" s="154"/>
    </row>
    <row r="130" spans="2:24" s="140" customFormat="1" ht="14.25" customHeight="1" x14ac:dyDescent="0.25">
      <c r="B130" s="282"/>
      <c r="C130" s="283"/>
      <c r="D130" s="284"/>
      <c r="E130" s="284"/>
      <c r="F130" s="285"/>
      <c r="G130" s="284"/>
      <c r="H130" s="286"/>
      <c r="I130" s="8">
        <f t="shared" ca="1" si="164"/>
        <v>0</v>
      </c>
      <c r="J130" s="9" t="str">
        <f t="shared" si="165"/>
        <v>INSERIR DATAS E TOT PARC</v>
      </c>
      <c r="K130" s="10" t="str">
        <f t="shared" si="166"/>
        <v>---</v>
      </c>
      <c r="L130" s="11">
        <f t="shared" si="167"/>
        <v>0</v>
      </c>
      <c r="M130" s="12">
        <f t="shared" si="168"/>
        <v>0</v>
      </c>
      <c r="N130" s="13">
        <f t="shared" si="169"/>
        <v>0</v>
      </c>
      <c r="O130" s="13">
        <f t="shared" si="170"/>
        <v>0</v>
      </c>
      <c r="P130" s="13">
        <f t="shared" si="171"/>
        <v>0</v>
      </c>
      <c r="Q130" s="13">
        <f t="shared" si="172"/>
        <v>0</v>
      </c>
      <c r="R130" s="13">
        <f t="shared" si="173"/>
        <v>0</v>
      </c>
      <c r="S130" s="13">
        <f t="shared" si="174"/>
        <v>0</v>
      </c>
      <c r="T130" s="13">
        <f t="shared" si="175"/>
        <v>0</v>
      </c>
      <c r="U130" s="13">
        <f t="shared" si="176"/>
        <v>0</v>
      </c>
      <c r="V130" s="13">
        <f t="shared" si="177"/>
        <v>0</v>
      </c>
      <c r="W130" s="14">
        <f t="shared" si="178"/>
        <v>0</v>
      </c>
      <c r="X130" s="154"/>
    </row>
    <row r="131" spans="2:24" s="140" customFormat="1" ht="14.25" customHeight="1" x14ac:dyDescent="0.25">
      <c r="B131" s="282"/>
      <c r="C131" s="283"/>
      <c r="D131" s="284"/>
      <c r="E131" s="284"/>
      <c r="F131" s="285"/>
      <c r="G131" s="284"/>
      <c r="H131" s="286"/>
      <c r="I131" s="8">
        <f t="shared" ca="1" si="164"/>
        <v>0</v>
      </c>
      <c r="J131" s="9" t="str">
        <f t="shared" si="165"/>
        <v>INSERIR DATAS E TOT PARC</v>
      </c>
      <c r="K131" s="10" t="str">
        <f t="shared" si="166"/>
        <v>---</v>
      </c>
      <c r="L131" s="11">
        <f t="shared" si="167"/>
        <v>0</v>
      </c>
      <c r="M131" s="12">
        <f t="shared" si="168"/>
        <v>0</v>
      </c>
      <c r="N131" s="13">
        <f t="shared" si="169"/>
        <v>0</v>
      </c>
      <c r="O131" s="13">
        <f t="shared" si="170"/>
        <v>0</v>
      </c>
      <c r="P131" s="13">
        <f t="shared" si="171"/>
        <v>0</v>
      </c>
      <c r="Q131" s="13">
        <f t="shared" si="172"/>
        <v>0</v>
      </c>
      <c r="R131" s="13">
        <f t="shared" si="173"/>
        <v>0</v>
      </c>
      <c r="S131" s="13">
        <f t="shared" si="174"/>
        <v>0</v>
      </c>
      <c r="T131" s="13">
        <f t="shared" si="175"/>
        <v>0</v>
      </c>
      <c r="U131" s="13">
        <f t="shared" si="176"/>
        <v>0</v>
      </c>
      <c r="V131" s="13">
        <f t="shared" si="177"/>
        <v>0</v>
      </c>
      <c r="W131" s="14">
        <f t="shared" si="178"/>
        <v>0</v>
      </c>
      <c r="X131" s="154"/>
    </row>
    <row r="132" spans="2:24" s="140" customFormat="1" ht="14.25" customHeight="1" x14ac:dyDescent="0.25">
      <c r="B132" s="282"/>
      <c r="C132" s="283"/>
      <c r="D132" s="284"/>
      <c r="E132" s="284"/>
      <c r="F132" s="285"/>
      <c r="G132" s="284"/>
      <c r="H132" s="286"/>
      <c r="I132" s="8">
        <f t="shared" ca="1" si="164"/>
        <v>0</v>
      </c>
      <c r="J132" s="9" t="str">
        <f t="shared" si="165"/>
        <v>INSERIR DATAS E TOT PARC</v>
      </c>
      <c r="K132" s="10" t="str">
        <f t="shared" si="166"/>
        <v>---</v>
      </c>
      <c r="L132" s="11">
        <f t="shared" si="167"/>
        <v>0</v>
      </c>
      <c r="M132" s="12">
        <f t="shared" si="168"/>
        <v>0</v>
      </c>
      <c r="N132" s="13">
        <f t="shared" si="169"/>
        <v>0</v>
      </c>
      <c r="O132" s="13">
        <f t="shared" si="170"/>
        <v>0</v>
      </c>
      <c r="P132" s="13">
        <f t="shared" si="171"/>
        <v>0</v>
      </c>
      <c r="Q132" s="13">
        <f t="shared" si="172"/>
        <v>0</v>
      </c>
      <c r="R132" s="13">
        <f t="shared" si="173"/>
        <v>0</v>
      </c>
      <c r="S132" s="13">
        <f t="shared" si="174"/>
        <v>0</v>
      </c>
      <c r="T132" s="13">
        <f t="shared" si="175"/>
        <v>0</v>
      </c>
      <c r="U132" s="13">
        <f t="shared" si="176"/>
        <v>0</v>
      </c>
      <c r="V132" s="13">
        <f t="shared" si="177"/>
        <v>0</v>
      </c>
      <c r="W132" s="14">
        <f t="shared" si="178"/>
        <v>0</v>
      </c>
      <c r="X132" s="154"/>
    </row>
    <row r="133" spans="2:24" s="140" customFormat="1" ht="14.25" customHeight="1" x14ac:dyDescent="0.25">
      <c r="B133" s="282"/>
      <c r="C133" s="283"/>
      <c r="D133" s="284"/>
      <c r="E133" s="284"/>
      <c r="F133" s="285"/>
      <c r="G133" s="284"/>
      <c r="H133" s="286"/>
      <c r="I133" s="8">
        <f t="shared" ca="1" si="164"/>
        <v>0</v>
      </c>
      <c r="J133" s="9" t="str">
        <f t="shared" si="165"/>
        <v>INSERIR DATAS E TOT PARC</v>
      </c>
      <c r="K133" s="10" t="str">
        <f t="shared" si="166"/>
        <v>---</v>
      </c>
      <c r="L133" s="11">
        <f t="shared" si="167"/>
        <v>0</v>
      </c>
      <c r="M133" s="12">
        <f t="shared" si="168"/>
        <v>0</v>
      </c>
      <c r="N133" s="13">
        <f t="shared" si="169"/>
        <v>0</v>
      </c>
      <c r="O133" s="13">
        <f t="shared" si="170"/>
        <v>0</v>
      </c>
      <c r="P133" s="13">
        <f t="shared" si="171"/>
        <v>0</v>
      </c>
      <c r="Q133" s="13">
        <f t="shared" si="172"/>
        <v>0</v>
      </c>
      <c r="R133" s="13">
        <f t="shared" si="173"/>
        <v>0</v>
      </c>
      <c r="S133" s="13">
        <f t="shared" si="174"/>
        <v>0</v>
      </c>
      <c r="T133" s="13">
        <f t="shared" si="175"/>
        <v>0</v>
      </c>
      <c r="U133" s="13">
        <f t="shared" si="176"/>
        <v>0</v>
      </c>
      <c r="V133" s="13">
        <f t="shared" si="177"/>
        <v>0</v>
      </c>
      <c r="W133" s="14">
        <f t="shared" si="178"/>
        <v>0</v>
      </c>
      <c r="X133" s="154"/>
    </row>
    <row r="134" spans="2:24" s="142" customFormat="1" ht="14.25" customHeight="1" x14ac:dyDescent="0.25">
      <c r="B134" s="282"/>
      <c r="C134" s="283"/>
      <c r="D134" s="284"/>
      <c r="E134" s="284"/>
      <c r="F134" s="285"/>
      <c r="G134" s="284"/>
      <c r="H134" s="286"/>
      <c r="I134" s="8">
        <f t="shared" ref="I134:I135" ca="1" si="179">IF(AND(F134="anual",MONTH(B134)&lt;&gt;$D$2),0,IF(OR(J134=0,J134="TOTALMENTE PAGA"),0,H134))</f>
        <v>0</v>
      </c>
      <c r="J134" s="9" t="str">
        <f t="shared" ref="J134:J135" si="180">IF(OR(G134=0,B134=0,F134=0),"INSERIR DATAS E TOT PARC",IF(OR(F134="mensal",F134="anual"),IF(F134="anual",IF(OR(AND((MONTH(B134)=MONTH($A$2)),(DAY(B134)&gt;DAY($A$2))),AND((MONTH(B134)-1=MONTH($A$2)),(DAY(B134)&lt;=DAY($A$2)))),1,0),1),IF(B134&gt;G134,"DATAS INVALIDAS",IF(OR($A$2&lt;EDATE(G134,-1),$A$2=EDATE(G134,-1)),0,IF(OR($A$2&lt;G134,$A$2=G134),1,IF(DAY($A$2)&lt;5,IF(((YEAR($A$2)-YEAR(G134))*12+(MONTH($A$2)-MONTH(G134)+1))&gt;F134,"TOTALMENTE PAGA",(YEAR($A$2)-YEAR(G134))*12+(MONTH($A$2)-MONTH(G134)+1)),IF(($A$2&gt;K134),"TOTALMENTE PAGA",(YEAR($A$2)-YEAR(G134))*12+(MONTH($A$2)-MONTH(G134)+2))))))))</f>
        <v>INSERIR DATAS E TOT PARC</v>
      </c>
      <c r="K134" s="10" t="str">
        <f t="shared" ref="K134:K135" si="181">IF(OR(F134="anual",F134="mensal",B134=0),"---",EDATE(G134,F134-1))</f>
        <v>---</v>
      </c>
      <c r="L134" s="11">
        <f t="shared" ref="L134:L135" si="182">IF(OR(F134="mensal",F134="anual"),IF(J134=1,H134,0),IF(H134=0,0,IF(J134="TOTALMENTE PAGA",0,(F134-J134)*H134)))</f>
        <v>0</v>
      </c>
      <c r="M134" s="12">
        <f t="shared" ref="M134:M135" si="183">IF(F134="anual",IF(MONTH(B134)=$M$3,H134,0),IF(F134="mensal",I134,IF(K134="---",0,IF($M$2&lt;YEAR(K134),H134,IF($M$2=YEAR(K134),IF(OR($M$3&lt;MONTH(K134),$M$3=MONTH(K134)),H134,0),0)))))</f>
        <v>0</v>
      </c>
      <c r="N134" s="13">
        <f t="shared" ref="N134:N135" si="184">IF(F134="anual",IF(MONTH(B134)=$N$3,H134,0),IF(F134="mensal",I134,IF(K134="---",0,IF($N$2&lt;YEAR(K134),H134,IF($N$2=YEAR(K134),IF(OR($N$3&lt;MONTH(K134),$N$3=MONTH(K134)),H134,0),0)))))</f>
        <v>0</v>
      </c>
      <c r="O134" s="13">
        <f t="shared" ref="O134:O135" si="185">IF(F134="anual",IF(MONTH(B134)=$O$3,H134,0),IF(F134="mensal",I134,IF(K134="---",0,IF($O$2&lt;YEAR(K134),H134,IF($O$2=YEAR(K134),IF(OR($O$3&lt;MONTH(K134),$O$3=MONTH(K134)),H134,0),0)))))</f>
        <v>0</v>
      </c>
      <c r="P134" s="13">
        <f t="shared" ref="P134:P135" si="186">IF(F134="anual",IF(MONTH(B134)=$P$3,H134,0),IF(F134="mensal",I134,IF(K134="---",0,IF($P$2&lt;YEAR(K134),H134,IF($P$2=YEAR(K134),IF(OR($P$3&lt;MONTH(K134),$P$3=MONTH(K134)),H134,0),0)))))</f>
        <v>0</v>
      </c>
      <c r="Q134" s="13">
        <f t="shared" ref="Q134:Q135" si="187">IF(F134="anual",IF(MONTH(B134)=$Q$3,H134,0),IF(F134="mensal",I134,IF(K134="---",0,IF($Q$2&lt;YEAR(K134),H134,IF($Q$2=YEAR(K134),IF(OR($Q$3&lt;MONTH(K134),$Q$3=MONTH(K134)),H134,0),0)))))</f>
        <v>0</v>
      </c>
      <c r="R134" s="13">
        <f t="shared" ref="R134:R135" si="188">IF(F134="anual",IF(MONTH(B134)=$R$3,H134,0),IF(F134="mensal",I134,IF(K134="---",0,IF($R$2&lt;YEAR(K134),H134,IF($R$2=YEAR(K134),IF(OR($R$3&lt;MONTH(K134),$R$3=MONTH(K134)),H134,0),0)))))</f>
        <v>0</v>
      </c>
      <c r="S134" s="13">
        <f t="shared" ref="S134:S135" si="189">IF(F134="anual",IF(MONTH(B134)=$S$3,H134,0),IF(F134="mensal",I134,IF(K134="---",0,IF($S$2&lt;YEAR(K134),H134,IF($S$2=YEAR(K134),IF(OR($S$3&lt;MONTH(K134),$S$3=MONTH(K134)),H134,0),0)))))</f>
        <v>0</v>
      </c>
      <c r="T134" s="13">
        <f t="shared" ref="T134:T135" si="190">IF(F134="anual",IF(MONTH(B134)=$T$3,H134,0),IF(F134="mensal",I134,IF(K134="---",0,IF($T$2&lt;YEAR(K134),H134,IF($T$2=YEAR(K134),IF(OR($T$3&lt;MONTH(K134),$T$3=MONTH(K134)),H134,0),0)))))</f>
        <v>0</v>
      </c>
      <c r="U134" s="13">
        <f t="shared" ref="U134:U135" si="191">IF(F134="anual",IF(MONTH(B134)=$U$3,H134,0),IF(F134="mensal",I134,IF(K134="---",0,IF($U$2&lt;YEAR(K134),H134,IF($U$2=YEAR(K134),IF(OR($U$3&lt;MONTH(K134),$U$3=MONTH(K134)),H134,0),0)))))</f>
        <v>0</v>
      </c>
      <c r="V134" s="13">
        <f t="shared" ref="V134:V135" si="192">IF(F134="anual",IF(MONTH(B134)=$V$3,H134,0),IF(F134="mensal",I134,IF(K134="---",0,IF($V$2&lt;YEAR(K134),H134,IF($V$2=YEAR(K134),IF(OR($V$3&lt;MONTH(K134),$V$3=MONTH(K134)),H134,0),0)))))</f>
        <v>0</v>
      </c>
      <c r="W134" s="14">
        <f t="shared" ref="W134:W135" si="193">IF(F134="anual",IF(MONTH(B134)=$W$3,H134,0),IF(F134="mensal",I134,IF(K134="---",0,IF($W$2&lt;YEAR(K134),H134,IF($W$2=YEAR(K134),IF(OR($W$3&lt;MONTH(K134),$W$3=MONTH(K134)),H134,0),0)))))</f>
        <v>0</v>
      </c>
      <c r="X134" s="154"/>
    </row>
    <row r="135" spans="2:24" s="142" customFormat="1" ht="14.25" customHeight="1" x14ac:dyDescent="0.25">
      <c r="B135" s="282"/>
      <c r="C135" s="283"/>
      <c r="D135" s="284"/>
      <c r="E135" s="284"/>
      <c r="F135" s="285"/>
      <c r="G135" s="284"/>
      <c r="H135" s="286"/>
      <c r="I135" s="8">
        <f t="shared" ca="1" si="179"/>
        <v>0</v>
      </c>
      <c r="J135" s="9" t="str">
        <f t="shared" si="180"/>
        <v>INSERIR DATAS E TOT PARC</v>
      </c>
      <c r="K135" s="10" t="str">
        <f t="shared" si="181"/>
        <v>---</v>
      </c>
      <c r="L135" s="11">
        <f t="shared" si="182"/>
        <v>0</v>
      </c>
      <c r="M135" s="12">
        <f t="shared" si="183"/>
        <v>0</v>
      </c>
      <c r="N135" s="13">
        <f t="shared" si="184"/>
        <v>0</v>
      </c>
      <c r="O135" s="13">
        <f t="shared" si="185"/>
        <v>0</v>
      </c>
      <c r="P135" s="13">
        <f t="shared" si="186"/>
        <v>0</v>
      </c>
      <c r="Q135" s="13">
        <f t="shared" si="187"/>
        <v>0</v>
      </c>
      <c r="R135" s="13">
        <f t="shared" si="188"/>
        <v>0</v>
      </c>
      <c r="S135" s="13">
        <f t="shared" si="189"/>
        <v>0</v>
      </c>
      <c r="T135" s="13">
        <f t="shared" si="190"/>
        <v>0</v>
      </c>
      <c r="U135" s="13">
        <f t="shared" si="191"/>
        <v>0</v>
      </c>
      <c r="V135" s="13">
        <f t="shared" si="192"/>
        <v>0</v>
      </c>
      <c r="W135" s="14">
        <f t="shared" si="193"/>
        <v>0</v>
      </c>
      <c r="X135" s="154"/>
    </row>
    <row r="136" spans="2:24" s="142" customFormat="1" ht="14.25" customHeight="1" x14ac:dyDescent="0.25">
      <c r="B136" s="282"/>
      <c r="C136" s="283"/>
      <c r="D136" s="284"/>
      <c r="E136" s="284"/>
      <c r="F136" s="285"/>
      <c r="G136" s="284"/>
      <c r="H136" s="286"/>
      <c r="I136" s="8">
        <f t="shared" ref="I136:I141" ca="1" si="194">IF(AND(F136="anual",MONTH(B136)&lt;&gt;$D$2),0,IF(OR(J136=0,J136="TOTALMENTE PAGA"),0,H136))</f>
        <v>0</v>
      </c>
      <c r="J136" s="9" t="str">
        <f t="shared" ref="J136:J141" si="195">IF(OR(G136=0,B136=0,F136=0),"INSERIR DATAS E TOT PARC",IF(OR(F136="mensal",F136="anual"),IF(F136="anual",IF(OR(AND((MONTH(B136)=MONTH($A$2)),(DAY(B136)&gt;DAY($A$2))),AND((MONTH(B136)-1=MONTH($A$2)),(DAY(B136)&lt;=DAY($A$2)))),1,0),1),IF(B136&gt;G136,"DATAS INVALIDAS",IF(OR($A$2&lt;EDATE(G136,-1),$A$2=EDATE(G136,-1)),0,IF(OR($A$2&lt;G136,$A$2=G136),1,IF(DAY($A$2)&lt;5,IF(((YEAR($A$2)-YEAR(G136))*12+(MONTH($A$2)-MONTH(G136)+1))&gt;F136,"TOTALMENTE PAGA",(YEAR($A$2)-YEAR(G136))*12+(MONTH($A$2)-MONTH(G136)+1)),IF(($A$2&gt;K136),"TOTALMENTE PAGA",(YEAR($A$2)-YEAR(G136))*12+(MONTH($A$2)-MONTH(G136)+2))))))))</f>
        <v>INSERIR DATAS E TOT PARC</v>
      </c>
      <c r="K136" s="10" t="str">
        <f t="shared" ref="K136:K141" si="196">IF(OR(F136="anual",F136="mensal",B136=0),"---",EDATE(G136,F136-1))</f>
        <v>---</v>
      </c>
      <c r="L136" s="11">
        <f t="shared" ref="L136:L141" si="197">IF(OR(F136="mensal",F136="anual"),IF(J136=1,H136,0),IF(H136=0,0,IF(J136="TOTALMENTE PAGA",0,(F136-J136)*H136)))</f>
        <v>0</v>
      </c>
      <c r="M136" s="12">
        <f t="shared" ref="M136:M141" si="198">IF(F136="anual",IF(MONTH(B136)=$M$3,H136,0),IF(F136="mensal",I136,IF(K136="---",0,IF($M$2&lt;YEAR(K136),H136,IF($M$2=YEAR(K136),IF(OR($M$3&lt;MONTH(K136),$M$3=MONTH(K136)),H136,0),0)))))</f>
        <v>0</v>
      </c>
      <c r="N136" s="13">
        <f t="shared" ref="N136:N141" si="199">IF(F136="anual",IF(MONTH(B136)=$N$3,H136,0),IF(F136="mensal",I136,IF(K136="---",0,IF($N$2&lt;YEAR(K136),H136,IF($N$2=YEAR(K136),IF(OR($N$3&lt;MONTH(K136),$N$3=MONTH(K136)),H136,0),0)))))</f>
        <v>0</v>
      </c>
      <c r="O136" s="13">
        <f t="shared" ref="O136:O141" si="200">IF(F136="anual",IF(MONTH(B136)=$O$3,H136,0),IF(F136="mensal",I136,IF(K136="---",0,IF($O$2&lt;YEAR(K136),H136,IF($O$2=YEAR(K136),IF(OR($O$3&lt;MONTH(K136),$O$3=MONTH(K136)),H136,0),0)))))</f>
        <v>0</v>
      </c>
      <c r="P136" s="13">
        <f t="shared" ref="P136:P141" si="201">IF(F136="anual",IF(MONTH(B136)=$P$3,H136,0),IF(F136="mensal",I136,IF(K136="---",0,IF($P$2&lt;YEAR(K136),H136,IF($P$2=YEAR(K136),IF(OR($P$3&lt;MONTH(K136),$P$3=MONTH(K136)),H136,0),0)))))</f>
        <v>0</v>
      </c>
      <c r="Q136" s="13">
        <f t="shared" ref="Q136:Q141" si="202">IF(F136="anual",IF(MONTH(B136)=$Q$3,H136,0),IF(F136="mensal",I136,IF(K136="---",0,IF($Q$2&lt;YEAR(K136),H136,IF($Q$2=YEAR(K136),IF(OR($Q$3&lt;MONTH(K136),$Q$3=MONTH(K136)),H136,0),0)))))</f>
        <v>0</v>
      </c>
      <c r="R136" s="13">
        <f t="shared" ref="R136:R141" si="203">IF(F136="anual",IF(MONTH(B136)=$R$3,H136,0),IF(F136="mensal",I136,IF(K136="---",0,IF($R$2&lt;YEAR(K136),H136,IF($R$2=YEAR(K136),IF(OR($R$3&lt;MONTH(K136),$R$3=MONTH(K136)),H136,0),0)))))</f>
        <v>0</v>
      </c>
      <c r="S136" s="13">
        <f t="shared" ref="S136:S141" si="204">IF(F136="anual",IF(MONTH(B136)=$S$3,H136,0),IF(F136="mensal",I136,IF(K136="---",0,IF($S$2&lt;YEAR(K136),H136,IF($S$2=YEAR(K136),IF(OR($S$3&lt;MONTH(K136),$S$3=MONTH(K136)),H136,0),0)))))</f>
        <v>0</v>
      </c>
      <c r="T136" s="13">
        <f t="shared" ref="T136:T141" si="205">IF(F136="anual",IF(MONTH(B136)=$T$3,H136,0),IF(F136="mensal",I136,IF(K136="---",0,IF($T$2&lt;YEAR(K136),H136,IF($T$2=YEAR(K136),IF(OR($T$3&lt;MONTH(K136),$T$3=MONTH(K136)),H136,0),0)))))</f>
        <v>0</v>
      </c>
      <c r="U136" s="13">
        <f t="shared" ref="U136:U141" si="206">IF(F136="anual",IF(MONTH(B136)=$U$3,H136,0),IF(F136="mensal",I136,IF(K136="---",0,IF($U$2&lt;YEAR(K136),H136,IF($U$2=YEAR(K136),IF(OR($U$3&lt;MONTH(K136),$U$3=MONTH(K136)),H136,0),0)))))</f>
        <v>0</v>
      </c>
      <c r="V136" s="13">
        <f t="shared" ref="V136:V141" si="207">IF(F136="anual",IF(MONTH(B136)=$V$3,H136,0),IF(F136="mensal",I136,IF(K136="---",0,IF($V$2&lt;YEAR(K136),H136,IF($V$2=YEAR(K136),IF(OR($V$3&lt;MONTH(K136),$V$3=MONTH(K136)),H136,0),0)))))</f>
        <v>0</v>
      </c>
      <c r="W136" s="14">
        <f t="shared" ref="W136:W141" si="208">IF(F136="anual",IF(MONTH(B136)=$W$3,H136,0),IF(F136="mensal",I136,IF(K136="---",0,IF($W$2&lt;YEAR(K136),H136,IF($W$2=YEAR(K136),IF(OR($W$3&lt;MONTH(K136),$W$3=MONTH(K136)),H136,0),0)))))</f>
        <v>0</v>
      </c>
      <c r="X136" s="154"/>
    </row>
    <row r="137" spans="2:24" s="142" customFormat="1" ht="14.25" customHeight="1" x14ac:dyDescent="0.25">
      <c r="B137" s="282"/>
      <c r="C137" s="283"/>
      <c r="D137" s="284"/>
      <c r="E137" s="284"/>
      <c r="F137" s="285"/>
      <c r="G137" s="284"/>
      <c r="H137" s="286"/>
      <c r="I137" s="8">
        <f t="shared" ca="1" si="194"/>
        <v>0</v>
      </c>
      <c r="J137" s="9" t="str">
        <f t="shared" si="195"/>
        <v>INSERIR DATAS E TOT PARC</v>
      </c>
      <c r="K137" s="10" t="str">
        <f t="shared" si="196"/>
        <v>---</v>
      </c>
      <c r="L137" s="11">
        <f t="shared" si="197"/>
        <v>0</v>
      </c>
      <c r="M137" s="12">
        <f t="shared" si="198"/>
        <v>0</v>
      </c>
      <c r="N137" s="13">
        <f t="shared" si="199"/>
        <v>0</v>
      </c>
      <c r="O137" s="13">
        <f t="shared" si="200"/>
        <v>0</v>
      </c>
      <c r="P137" s="13">
        <f t="shared" si="201"/>
        <v>0</v>
      </c>
      <c r="Q137" s="13">
        <f t="shared" si="202"/>
        <v>0</v>
      </c>
      <c r="R137" s="13">
        <f t="shared" si="203"/>
        <v>0</v>
      </c>
      <c r="S137" s="13">
        <f t="shared" si="204"/>
        <v>0</v>
      </c>
      <c r="T137" s="13">
        <f t="shared" si="205"/>
        <v>0</v>
      </c>
      <c r="U137" s="13">
        <f t="shared" si="206"/>
        <v>0</v>
      </c>
      <c r="V137" s="13">
        <f t="shared" si="207"/>
        <v>0</v>
      </c>
      <c r="W137" s="14">
        <f t="shared" si="208"/>
        <v>0</v>
      </c>
      <c r="X137" s="154"/>
    </row>
    <row r="138" spans="2:24" s="142" customFormat="1" ht="14.25" customHeight="1" x14ac:dyDescent="0.25">
      <c r="B138" s="282"/>
      <c r="C138" s="283"/>
      <c r="D138" s="284"/>
      <c r="E138" s="284"/>
      <c r="F138" s="285"/>
      <c r="G138" s="284"/>
      <c r="H138" s="286"/>
      <c r="I138" s="8">
        <f t="shared" ca="1" si="194"/>
        <v>0</v>
      </c>
      <c r="J138" s="9" t="str">
        <f t="shared" si="195"/>
        <v>INSERIR DATAS E TOT PARC</v>
      </c>
      <c r="K138" s="10" t="str">
        <f t="shared" si="196"/>
        <v>---</v>
      </c>
      <c r="L138" s="11">
        <f t="shared" si="197"/>
        <v>0</v>
      </c>
      <c r="M138" s="12">
        <f t="shared" si="198"/>
        <v>0</v>
      </c>
      <c r="N138" s="13">
        <f t="shared" si="199"/>
        <v>0</v>
      </c>
      <c r="O138" s="13">
        <f t="shared" si="200"/>
        <v>0</v>
      </c>
      <c r="P138" s="13">
        <f t="shared" si="201"/>
        <v>0</v>
      </c>
      <c r="Q138" s="13">
        <f t="shared" si="202"/>
        <v>0</v>
      </c>
      <c r="R138" s="13">
        <f t="shared" si="203"/>
        <v>0</v>
      </c>
      <c r="S138" s="13">
        <f t="shared" si="204"/>
        <v>0</v>
      </c>
      <c r="T138" s="13">
        <f t="shared" si="205"/>
        <v>0</v>
      </c>
      <c r="U138" s="13">
        <f t="shared" si="206"/>
        <v>0</v>
      </c>
      <c r="V138" s="13">
        <f t="shared" si="207"/>
        <v>0</v>
      </c>
      <c r="W138" s="14">
        <f t="shared" si="208"/>
        <v>0</v>
      </c>
      <c r="X138" s="154"/>
    </row>
    <row r="139" spans="2:24" s="142" customFormat="1" ht="14.25" customHeight="1" x14ac:dyDescent="0.25">
      <c r="B139" s="282"/>
      <c r="C139" s="283"/>
      <c r="D139" s="284"/>
      <c r="E139" s="284"/>
      <c r="F139" s="285"/>
      <c r="G139" s="284"/>
      <c r="H139" s="286"/>
      <c r="I139" s="8">
        <f t="shared" ca="1" si="194"/>
        <v>0</v>
      </c>
      <c r="J139" s="9" t="str">
        <f t="shared" si="195"/>
        <v>INSERIR DATAS E TOT PARC</v>
      </c>
      <c r="K139" s="10" t="str">
        <f t="shared" si="196"/>
        <v>---</v>
      </c>
      <c r="L139" s="11">
        <f t="shared" si="197"/>
        <v>0</v>
      </c>
      <c r="M139" s="12">
        <f t="shared" si="198"/>
        <v>0</v>
      </c>
      <c r="N139" s="13">
        <f t="shared" si="199"/>
        <v>0</v>
      </c>
      <c r="O139" s="13">
        <f t="shared" si="200"/>
        <v>0</v>
      </c>
      <c r="P139" s="13">
        <f t="shared" si="201"/>
        <v>0</v>
      </c>
      <c r="Q139" s="13">
        <f t="shared" si="202"/>
        <v>0</v>
      </c>
      <c r="R139" s="13">
        <f t="shared" si="203"/>
        <v>0</v>
      </c>
      <c r="S139" s="13">
        <f t="shared" si="204"/>
        <v>0</v>
      </c>
      <c r="T139" s="13">
        <f t="shared" si="205"/>
        <v>0</v>
      </c>
      <c r="U139" s="13">
        <f t="shared" si="206"/>
        <v>0</v>
      </c>
      <c r="V139" s="13">
        <f t="shared" si="207"/>
        <v>0</v>
      </c>
      <c r="W139" s="14">
        <f t="shared" si="208"/>
        <v>0</v>
      </c>
      <c r="X139" s="154"/>
    </row>
    <row r="140" spans="2:24" s="142" customFormat="1" ht="14.25" customHeight="1" x14ac:dyDescent="0.25">
      <c r="B140" s="282"/>
      <c r="C140" s="283"/>
      <c r="D140" s="284"/>
      <c r="E140" s="284"/>
      <c r="F140" s="285"/>
      <c r="G140" s="284"/>
      <c r="H140" s="286"/>
      <c r="I140" s="8">
        <f t="shared" ca="1" si="194"/>
        <v>0</v>
      </c>
      <c r="J140" s="9" t="str">
        <f t="shared" si="195"/>
        <v>INSERIR DATAS E TOT PARC</v>
      </c>
      <c r="K140" s="10" t="str">
        <f t="shared" si="196"/>
        <v>---</v>
      </c>
      <c r="L140" s="11">
        <f t="shared" si="197"/>
        <v>0</v>
      </c>
      <c r="M140" s="12">
        <f t="shared" si="198"/>
        <v>0</v>
      </c>
      <c r="N140" s="13">
        <f t="shared" si="199"/>
        <v>0</v>
      </c>
      <c r="O140" s="13">
        <f t="shared" si="200"/>
        <v>0</v>
      </c>
      <c r="P140" s="13">
        <f t="shared" si="201"/>
        <v>0</v>
      </c>
      <c r="Q140" s="13">
        <f t="shared" si="202"/>
        <v>0</v>
      </c>
      <c r="R140" s="13">
        <f t="shared" si="203"/>
        <v>0</v>
      </c>
      <c r="S140" s="13">
        <f t="shared" si="204"/>
        <v>0</v>
      </c>
      <c r="T140" s="13">
        <f t="shared" si="205"/>
        <v>0</v>
      </c>
      <c r="U140" s="13">
        <f t="shared" si="206"/>
        <v>0</v>
      </c>
      <c r="V140" s="13">
        <f t="shared" si="207"/>
        <v>0</v>
      </c>
      <c r="W140" s="14">
        <f t="shared" si="208"/>
        <v>0</v>
      </c>
      <c r="X140" s="154"/>
    </row>
    <row r="141" spans="2:24" s="140" customFormat="1" ht="14.25" customHeight="1" x14ac:dyDescent="0.25">
      <c r="B141" s="282"/>
      <c r="C141" s="283"/>
      <c r="D141" s="284"/>
      <c r="E141" s="284"/>
      <c r="F141" s="285"/>
      <c r="G141" s="284"/>
      <c r="H141" s="286"/>
      <c r="I141" s="8">
        <f t="shared" ca="1" si="194"/>
        <v>0</v>
      </c>
      <c r="J141" s="9" t="str">
        <f t="shared" si="195"/>
        <v>INSERIR DATAS E TOT PARC</v>
      </c>
      <c r="K141" s="10" t="str">
        <f t="shared" si="196"/>
        <v>---</v>
      </c>
      <c r="L141" s="11">
        <f t="shared" si="197"/>
        <v>0</v>
      </c>
      <c r="M141" s="12">
        <f t="shared" si="198"/>
        <v>0</v>
      </c>
      <c r="N141" s="13">
        <f t="shared" si="199"/>
        <v>0</v>
      </c>
      <c r="O141" s="13">
        <f t="shared" si="200"/>
        <v>0</v>
      </c>
      <c r="P141" s="13">
        <f t="shared" si="201"/>
        <v>0</v>
      </c>
      <c r="Q141" s="13">
        <f t="shared" si="202"/>
        <v>0</v>
      </c>
      <c r="R141" s="13">
        <f t="shared" si="203"/>
        <v>0</v>
      </c>
      <c r="S141" s="13">
        <f t="shared" si="204"/>
        <v>0</v>
      </c>
      <c r="T141" s="13">
        <f t="shared" si="205"/>
        <v>0</v>
      </c>
      <c r="U141" s="13">
        <f t="shared" si="206"/>
        <v>0</v>
      </c>
      <c r="V141" s="13">
        <f t="shared" si="207"/>
        <v>0</v>
      </c>
      <c r="W141" s="14">
        <f t="shared" si="208"/>
        <v>0</v>
      </c>
      <c r="X141" s="154"/>
    </row>
    <row r="142" spans="2:24" s="148" customFormat="1" ht="14.25" customHeight="1" x14ac:dyDescent="0.25">
      <c r="B142" s="282"/>
      <c r="C142" s="283"/>
      <c r="D142" s="284"/>
      <c r="E142" s="284"/>
      <c r="F142" s="285"/>
      <c r="G142" s="284"/>
      <c r="H142" s="286"/>
      <c r="I142" s="8">
        <f t="shared" ref="I142:I149" ca="1" si="209">IF(AND(F142="anual",MONTH(B142)&lt;&gt;$D$2),0,IF(OR(J142=0,J142="TOTALMENTE PAGA"),0,H142))</f>
        <v>0</v>
      </c>
      <c r="J142" s="9" t="str">
        <f t="shared" ref="J142:J149" si="210">IF(OR(G142=0,B142=0,F142=0),"INSERIR DATAS E TOT PARC",IF(OR(F142="mensal",F142="anual"),IF(F142="anual",IF(OR(AND((MONTH(B142)=MONTH($A$2)),(DAY(B142)&gt;DAY($A$2))),AND((MONTH(B142)-1=MONTH($A$2)),(DAY(B142)&lt;=DAY($A$2)))),1,0),1),IF(B142&gt;G142,"DATAS INVALIDAS",IF(OR($A$2&lt;EDATE(G142,-1),$A$2=EDATE(G142,-1)),0,IF(OR($A$2&lt;G142,$A$2=G142),1,IF(DAY($A$2)&lt;5,IF(((YEAR($A$2)-YEAR(G142))*12+(MONTH($A$2)-MONTH(G142)+1))&gt;F142,"TOTALMENTE PAGA",(YEAR($A$2)-YEAR(G142))*12+(MONTH($A$2)-MONTH(G142)+1)),IF(($A$2&gt;K142),"TOTALMENTE PAGA",(YEAR($A$2)-YEAR(G142))*12+(MONTH($A$2)-MONTH(G142)+2))))))))</f>
        <v>INSERIR DATAS E TOT PARC</v>
      </c>
      <c r="K142" s="10" t="str">
        <f t="shared" ref="K142:K149" si="211">IF(OR(F142="anual",F142="mensal",B142=0),"---",EDATE(G142,F142-1))</f>
        <v>---</v>
      </c>
      <c r="L142" s="11">
        <f t="shared" ref="L142:L149" si="212">IF(OR(F142="mensal",F142="anual"),IF(J142=1,H142,0),IF(H142=0,0,IF(J142="TOTALMENTE PAGA",0,(F142-J142)*H142)))</f>
        <v>0</v>
      </c>
      <c r="M142" s="12">
        <f t="shared" ref="M142:M149" si="213">IF(F142="anual",IF(MONTH(B142)=$M$3,H142,0),IF(F142="mensal",I142,IF(K142="---",0,IF($M$2&lt;YEAR(K142),H142,IF($M$2=YEAR(K142),IF(OR($M$3&lt;MONTH(K142),$M$3=MONTH(K142)),H142,0),0)))))</f>
        <v>0</v>
      </c>
      <c r="N142" s="13">
        <f t="shared" ref="N142:N149" si="214">IF(F142="anual",IF(MONTH(B142)=$N$3,H142,0),IF(F142="mensal",I142,IF(K142="---",0,IF($N$2&lt;YEAR(K142),H142,IF($N$2=YEAR(K142),IF(OR($N$3&lt;MONTH(K142),$N$3=MONTH(K142)),H142,0),0)))))</f>
        <v>0</v>
      </c>
      <c r="O142" s="13">
        <f t="shared" ref="O142:O149" si="215">IF(F142="anual",IF(MONTH(B142)=$O$3,H142,0),IF(F142="mensal",I142,IF(K142="---",0,IF($O$2&lt;YEAR(K142),H142,IF($O$2=YEAR(K142),IF(OR($O$3&lt;MONTH(K142),$O$3=MONTH(K142)),H142,0),0)))))</f>
        <v>0</v>
      </c>
      <c r="P142" s="13">
        <f t="shared" ref="P142:P149" si="216">IF(F142="anual",IF(MONTH(B142)=$P$3,H142,0),IF(F142="mensal",I142,IF(K142="---",0,IF($P$2&lt;YEAR(K142),H142,IF($P$2=YEAR(K142),IF(OR($P$3&lt;MONTH(K142),$P$3=MONTH(K142)),H142,0),0)))))</f>
        <v>0</v>
      </c>
      <c r="Q142" s="13">
        <f t="shared" ref="Q142:Q149" si="217">IF(F142="anual",IF(MONTH(B142)=$Q$3,H142,0),IF(F142="mensal",I142,IF(K142="---",0,IF($Q$2&lt;YEAR(K142),H142,IF($Q$2=YEAR(K142),IF(OR($Q$3&lt;MONTH(K142),$Q$3=MONTH(K142)),H142,0),0)))))</f>
        <v>0</v>
      </c>
      <c r="R142" s="13">
        <f t="shared" ref="R142:R149" si="218">IF(F142="anual",IF(MONTH(B142)=$R$3,H142,0),IF(F142="mensal",I142,IF(K142="---",0,IF($R$2&lt;YEAR(K142),H142,IF($R$2=YEAR(K142),IF(OR($R$3&lt;MONTH(K142),$R$3=MONTH(K142)),H142,0),0)))))</f>
        <v>0</v>
      </c>
      <c r="S142" s="13">
        <f t="shared" ref="S142:S149" si="219">IF(F142="anual",IF(MONTH(B142)=$S$3,H142,0),IF(F142="mensal",I142,IF(K142="---",0,IF($S$2&lt;YEAR(K142),H142,IF($S$2=YEAR(K142),IF(OR($S$3&lt;MONTH(K142),$S$3=MONTH(K142)),H142,0),0)))))</f>
        <v>0</v>
      </c>
      <c r="T142" s="13">
        <f t="shared" ref="T142:T149" si="220">IF(F142="anual",IF(MONTH(B142)=$T$3,H142,0),IF(F142="mensal",I142,IF(K142="---",0,IF($T$2&lt;YEAR(K142),H142,IF($T$2=YEAR(K142),IF(OR($T$3&lt;MONTH(K142),$T$3=MONTH(K142)),H142,0),0)))))</f>
        <v>0</v>
      </c>
      <c r="U142" s="13">
        <f t="shared" ref="U142:U149" si="221">IF(F142="anual",IF(MONTH(B142)=$U$3,H142,0),IF(F142="mensal",I142,IF(K142="---",0,IF($U$2&lt;YEAR(K142),H142,IF($U$2=YEAR(K142),IF(OR($U$3&lt;MONTH(K142),$U$3=MONTH(K142)),H142,0),0)))))</f>
        <v>0</v>
      </c>
      <c r="V142" s="13">
        <f t="shared" ref="V142:V149" si="222">IF(F142="anual",IF(MONTH(B142)=$V$3,H142,0),IF(F142="mensal",I142,IF(K142="---",0,IF($V$2&lt;YEAR(K142),H142,IF($V$2=YEAR(K142),IF(OR($V$3&lt;MONTH(K142),$V$3=MONTH(K142)),H142,0),0)))))</f>
        <v>0</v>
      </c>
      <c r="W142" s="14">
        <f t="shared" ref="W142:W149" si="223">IF(F142="anual",IF(MONTH(B142)=$W$3,H142,0),IF(F142="mensal",I142,IF(K142="---",0,IF($W$2&lt;YEAR(K142),H142,IF($W$2=YEAR(K142),IF(OR($W$3&lt;MONTH(K142),$W$3=MONTH(K142)),H142,0),0)))))</f>
        <v>0</v>
      </c>
      <c r="X142" s="154"/>
    </row>
    <row r="143" spans="2:24" s="148" customFormat="1" ht="14.25" customHeight="1" x14ac:dyDescent="0.25">
      <c r="B143" s="282"/>
      <c r="C143" s="283"/>
      <c r="D143" s="284"/>
      <c r="E143" s="284"/>
      <c r="F143" s="285"/>
      <c r="G143" s="284"/>
      <c r="H143" s="286"/>
      <c r="I143" s="8">
        <f t="shared" ca="1" si="209"/>
        <v>0</v>
      </c>
      <c r="J143" s="9" t="str">
        <f t="shared" si="210"/>
        <v>INSERIR DATAS E TOT PARC</v>
      </c>
      <c r="K143" s="10" t="str">
        <f t="shared" si="211"/>
        <v>---</v>
      </c>
      <c r="L143" s="11">
        <f t="shared" si="212"/>
        <v>0</v>
      </c>
      <c r="M143" s="12">
        <f t="shared" si="213"/>
        <v>0</v>
      </c>
      <c r="N143" s="13">
        <f t="shared" si="214"/>
        <v>0</v>
      </c>
      <c r="O143" s="13">
        <f t="shared" si="215"/>
        <v>0</v>
      </c>
      <c r="P143" s="13">
        <f t="shared" si="216"/>
        <v>0</v>
      </c>
      <c r="Q143" s="13">
        <f t="shared" si="217"/>
        <v>0</v>
      </c>
      <c r="R143" s="13">
        <f t="shared" si="218"/>
        <v>0</v>
      </c>
      <c r="S143" s="13">
        <f t="shared" si="219"/>
        <v>0</v>
      </c>
      <c r="T143" s="13">
        <f t="shared" si="220"/>
        <v>0</v>
      </c>
      <c r="U143" s="13">
        <f t="shared" si="221"/>
        <v>0</v>
      </c>
      <c r="V143" s="13">
        <f t="shared" si="222"/>
        <v>0</v>
      </c>
      <c r="W143" s="14">
        <f t="shared" si="223"/>
        <v>0</v>
      </c>
      <c r="X143" s="154"/>
    </row>
    <row r="144" spans="2:24" s="148" customFormat="1" ht="14.25" customHeight="1" x14ac:dyDescent="0.25">
      <c r="B144" s="282"/>
      <c r="C144" s="283"/>
      <c r="D144" s="284"/>
      <c r="E144" s="284"/>
      <c r="F144" s="285"/>
      <c r="G144" s="284"/>
      <c r="H144" s="286"/>
      <c r="I144" s="8">
        <f t="shared" ca="1" si="209"/>
        <v>0</v>
      </c>
      <c r="J144" s="9" t="str">
        <f t="shared" si="210"/>
        <v>INSERIR DATAS E TOT PARC</v>
      </c>
      <c r="K144" s="10" t="str">
        <f t="shared" si="211"/>
        <v>---</v>
      </c>
      <c r="L144" s="11">
        <f t="shared" si="212"/>
        <v>0</v>
      </c>
      <c r="M144" s="12">
        <f t="shared" si="213"/>
        <v>0</v>
      </c>
      <c r="N144" s="13">
        <f t="shared" si="214"/>
        <v>0</v>
      </c>
      <c r="O144" s="13">
        <f t="shared" si="215"/>
        <v>0</v>
      </c>
      <c r="P144" s="13">
        <f t="shared" si="216"/>
        <v>0</v>
      </c>
      <c r="Q144" s="13">
        <f t="shared" si="217"/>
        <v>0</v>
      </c>
      <c r="R144" s="13">
        <f t="shared" si="218"/>
        <v>0</v>
      </c>
      <c r="S144" s="13">
        <f t="shared" si="219"/>
        <v>0</v>
      </c>
      <c r="T144" s="13">
        <f t="shared" si="220"/>
        <v>0</v>
      </c>
      <c r="U144" s="13">
        <f t="shared" si="221"/>
        <v>0</v>
      </c>
      <c r="V144" s="13">
        <f t="shared" si="222"/>
        <v>0</v>
      </c>
      <c r="W144" s="14">
        <f t="shared" si="223"/>
        <v>0</v>
      </c>
      <c r="X144" s="154"/>
    </row>
    <row r="145" spans="1:25" s="148" customFormat="1" ht="14.25" customHeight="1" x14ac:dyDescent="0.25">
      <c r="B145" s="282"/>
      <c r="C145" s="283"/>
      <c r="D145" s="284"/>
      <c r="E145" s="284"/>
      <c r="F145" s="285"/>
      <c r="G145" s="284"/>
      <c r="H145" s="286"/>
      <c r="I145" s="8">
        <f t="shared" ca="1" si="209"/>
        <v>0</v>
      </c>
      <c r="J145" s="9" t="str">
        <f t="shared" si="210"/>
        <v>INSERIR DATAS E TOT PARC</v>
      </c>
      <c r="K145" s="10" t="str">
        <f t="shared" si="211"/>
        <v>---</v>
      </c>
      <c r="L145" s="11">
        <f t="shared" si="212"/>
        <v>0</v>
      </c>
      <c r="M145" s="12">
        <f t="shared" si="213"/>
        <v>0</v>
      </c>
      <c r="N145" s="13">
        <f t="shared" si="214"/>
        <v>0</v>
      </c>
      <c r="O145" s="13">
        <f t="shared" si="215"/>
        <v>0</v>
      </c>
      <c r="P145" s="13">
        <f t="shared" si="216"/>
        <v>0</v>
      </c>
      <c r="Q145" s="13">
        <f t="shared" si="217"/>
        <v>0</v>
      </c>
      <c r="R145" s="13">
        <f t="shared" si="218"/>
        <v>0</v>
      </c>
      <c r="S145" s="13">
        <f t="shared" si="219"/>
        <v>0</v>
      </c>
      <c r="T145" s="13">
        <f t="shared" si="220"/>
        <v>0</v>
      </c>
      <c r="U145" s="13">
        <f t="shared" si="221"/>
        <v>0</v>
      </c>
      <c r="V145" s="13">
        <f t="shared" si="222"/>
        <v>0</v>
      </c>
      <c r="W145" s="14">
        <f t="shared" si="223"/>
        <v>0</v>
      </c>
      <c r="X145" s="154"/>
    </row>
    <row r="146" spans="1:25" s="148" customFormat="1" ht="14.25" customHeight="1" x14ac:dyDescent="0.25">
      <c r="B146" s="282"/>
      <c r="C146" s="283"/>
      <c r="D146" s="284"/>
      <c r="E146" s="284"/>
      <c r="F146" s="285"/>
      <c r="G146" s="284"/>
      <c r="H146" s="286"/>
      <c r="I146" s="8">
        <f t="shared" ca="1" si="209"/>
        <v>0</v>
      </c>
      <c r="J146" s="9" t="str">
        <f t="shared" si="210"/>
        <v>INSERIR DATAS E TOT PARC</v>
      </c>
      <c r="K146" s="10" t="str">
        <f t="shared" si="211"/>
        <v>---</v>
      </c>
      <c r="L146" s="11">
        <f t="shared" si="212"/>
        <v>0</v>
      </c>
      <c r="M146" s="12">
        <f t="shared" si="213"/>
        <v>0</v>
      </c>
      <c r="N146" s="13">
        <f t="shared" si="214"/>
        <v>0</v>
      </c>
      <c r="O146" s="13">
        <f t="shared" si="215"/>
        <v>0</v>
      </c>
      <c r="P146" s="13">
        <f t="shared" si="216"/>
        <v>0</v>
      </c>
      <c r="Q146" s="13">
        <f t="shared" si="217"/>
        <v>0</v>
      </c>
      <c r="R146" s="13">
        <f t="shared" si="218"/>
        <v>0</v>
      </c>
      <c r="S146" s="13">
        <f t="shared" si="219"/>
        <v>0</v>
      </c>
      <c r="T146" s="13">
        <f t="shared" si="220"/>
        <v>0</v>
      </c>
      <c r="U146" s="13">
        <f t="shared" si="221"/>
        <v>0</v>
      </c>
      <c r="V146" s="13">
        <f t="shared" si="222"/>
        <v>0</v>
      </c>
      <c r="W146" s="14">
        <f t="shared" si="223"/>
        <v>0</v>
      </c>
      <c r="X146" s="154"/>
    </row>
    <row r="147" spans="1:25" s="148" customFormat="1" ht="14.25" customHeight="1" x14ac:dyDescent="0.25">
      <c r="B147" s="282"/>
      <c r="C147" s="283"/>
      <c r="D147" s="284"/>
      <c r="E147" s="284"/>
      <c r="F147" s="285"/>
      <c r="G147" s="284"/>
      <c r="H147" s="286"/>
      <c r="I147" s="8">
        <f t="shared" ca="1" si="209"/>
        <v>0</v>
      </c>
      <c r="J147" s="9" t="str">
        <f t="shared" si="210"/>
        <v>INSERIR DATAS E TOT PARC</v>
      </c>
      <c r="K147" s="10" t="str">
        <f t="shared" si="211"/>
        <v>---</v>
      </c>
      <c r="L147" s="11">
        <f t="shared" si="212"/>
        <v>0</v>
      </c>
      <c r="M147" s="12">
        <f t="shared" si="213"/>
        <v>0</v>
      </c>
      <c r="N147" s="13">
        <f t="shared" si="214"/>
        <v>0</v>
      </c>
      <c r="O147" s="13">
        <f t="shared" si="215"/>
        <v>0</v>
      </c>
      <c r="P147" s="13">
        <f t="shared" si="216"/>
        <v>0</v>
      </c>
      <c r="Q147" s="13">
        <f t="shared" si="217"/>
        <v>0</v>
      </c>
      <c r="R147" s="13">
        <f t="shared" si="218"/>
        <v>0</v>
      </c>
      <c r="S147" s="13">
        <f t="shared" si="219"/>
        <v>0</v>
      </c>
      <c r="T147" s="13">
        <f t="shared" si="220"/>
        <v>0</v>
      </c>
      <c r="U147" s="13">
        <f t="shared" si="221"/>
        <v>0</v>
      </c>
      <c r="V147" s="13">
        <f t="shared" si="222"/>
        <v>0</v>
      </c>
      <c r="W147" s="14">
        <f t="shared" si="223"/>
        <v>0</v>
      </c>
      <c r="X147" s="154"/>
    </row>
    <row r="148" spans="1:25" s="148" customFormat="1" ht="14.25" customHeight="1" x14ac:dyDescent="0.25">
      <c r="B148" s="282"/>
      <c r="C148" s="283"/>
      <c r="D148" s="284"/>
      <c r="E148" s="284"/>
      <c r="F148" s="285"/>
      <c r="G148" s="284"/>
      <c r="H148" s="286"/>
      <c r="I148" s="8">
        <f t="shared" ca="1" si="209"/>
        <v>0</v>
      </c>
      <c r="J148" s="9" t="str">
        <f t="shared" si="210"/>
        <v>INSERIR DATAS E TOT PARC</v>
      </c>
      <c r="K148" s="10" t="str">
        <f t="shared" si="211"/>
        <v>---</v>
      </c>
      <c r="L148" s="11">
        <f t="shared" si="212"/>
        <v>0</v>
      </c>
      <c r="M148" s="12">
        <f t="shared" si="213"/>
        <v>0</v>
      </c>
      <c r="N148" s="13">
        <f t="shared" si="214"/>
        <v>0</v>
      </c>
      <c r="O148" s="13">
        <f t="shared" si="215"/>
        <v>0</v>
      </c>
      <c r="P148" s="13">
        <f t="shared" si="216"/>
        <v>0</v>
      </c>
      <c r="Q148" s="13">
        <f t="shared" si="217"/>
        <v>0</v>
      </c>
      <c r="R148" s="13">
        <f t="shared" si="218"/>
        <v>0</v>
      </c>
      <c r="S148" s="13">
        <f t="shared" si="219"/>
        <v>0</v>
      </c>
      <c r="T148" s="13">
        <f t="shared" si="220"/>
        <v>0</v>
      </c>
      <c r="U148" s="13">
        <f t="shared" si="221"/>
        <v>0</v>
      </c>
      <c r="V148" s="13">
        <f t="shared" si="222"/>
        <v>0</v>
      </c>
      <c r="W148" s="14">
        <f t="shared" si="223"/>
        <v>0</v>
      </c>
      <c r="X148" s="154"/>
    </row>
    <row r="149" spans="1:25" s="148" customFormat="1" ht="14.25" customHeight="1" x14ac:dyDescent="0.25">
      <c r="B149" s="282"/>
      <c r="C149" s="283"/>
      <c r="D149" s="284"/>
      <c r="E149" s="284"/>
      <c r="F149" s="285"/>
      <c r="G149" s="284"/>
      <c r="H149" s="286"/>
      <c r="I149" s="8">
        <f t="shared" ca="1" si="209"/>
        <v>0</v>
      </c>
      <c r="J149" s="9" t="str">
        <f t="shared" si="210"/>
        <v>INSERIR DATAS E TOT PARC</v>
      </c>
      <c r="K149" s="10" t="str">
        <f t="shared" si="211"/>
        <v>---</v>
      </c>
      <c r="L149" s="11">
        <f t="shared" si="212"/>
        <v>0</v>
      </c>
      <c r="M149" s="12">
        <f t="shared" si="213"/>
        <v>0</v>
      </c>
      <c r="N149" s="13">
        <f t="shared" si="214"/>
        <v>0</v>
      </c>
      <c r="O149" s="13">
        <f t="shared" si="215"/>
        <v>0</v>
      </c>
      <c r="P149" s="13">
        <f t="shared" si="216"/>
        <v>0</v>
      </c>
      <c r="Q149" s="13">
        <f t="shared" si="217"/>
        <v>0</v>
      </c>
      <c r="R149" s="13">
        <f t="shared" si="218"/>
        <v>0</v>
      </c>
      <c r="S149" s="13">
        <f t="shared" si="219"/>
        <v>0</v>
      </c>
      <c r="T149" s="13">
        <f t="shared" si="220"/>
        <v>0</v>
      </c>
      <c r="U149" s="13">
        <f t="shared" si="221"/>
        <v>0</v>
      </c>
      <c r="V149" s="13">
        <f t="shared" si="222"/>
        <v>0</v>
      </c>
      <c r="W149" s="14">
        <f t="shared" si="223"/>
        <v>0</v>
      </c>
      <c r="X149" s="154"/>
    </row>
    <row r="150" spans="1:25" s="140" customFormat="1" ht="14.25" customHeight="1" thickBot="1" x14ac:dyDescent="0.3">
      <c r="B150" s="282"/>
      <c r="C150" s="283"/>
      <c r="D150" s="284"/>
      <c r="E150" s="284"/>
      <c r="F150" s="285"/>
      <c r="G150" s="284"/>
      <c r="H150" s="286"/>
      <c r="I150" s="8">
        <f t="shared" ca="1" si="164"/>
        <v>0</v>
      </c>
      <c r="J150" s="9" t="str">
        <f t="shared" si="165"/>
        <v>INSERIR DATAS E TOT PARC</v>
      </c>
      <c r="K150" s="10" t="str">
        <f t="shared" si="166"/>
        <v>---</v>
      </c>
      <c r="L150" s="11">
        <f t="shared" si="167"/>
        <v>0</v>
      </c>
      <c r="M150" s="12">
        <f t="shared" si="168"/>
        <v>0</v>
      </c>
      <c r="N150" s="13">
        <f t="shared" si="169"/>
        <v>0</v>
      </c>
      <c r="O150" s="13">
        <f t="shared" si="170"/>
        <v>0</v>
      </c>
      <c r="P150" s="13">
        <f t="shared" si="171"/>
        <v>0</v>
      </c>
      <c r="Q150" s="13">
        <f t="shared" si="172"/>
        <v>0</v>
      </c>
      <c r="R150" s="13">
        <f t="shared" si="173"/>
        <v>0</v>
      </c>
      <c r="S150" s="13">
        <f t="shared" si="174"/>
        <v>0</v>
      </c>
      <c r="T150" s="13">
        <f t="shared" si="175"/>
        <v>0</v>
      </c>
      <c r="U150" s="13">
        <f t="shared" si="176"/>
        <v>0</v>
      </c>
      <c r="V150" s="13">
        <f t="shared" si="177"/>
        <v>0</v>
      </c>
      <c r="W150" s="14">
        <f t="shared" si="178"/>
        <v>0</v>
      </c>
      <c r="X150" s="154"/>
    </row>
    <row r="151" spans="1:25" ht="14.25" customHeight="1" thickBot="1" x14ac:dyDescent="0.3">
      <c r="B151" s="327" t="s">
        <v>19</v>
      </c>
      <c r="C151" s="328"/>
      <c r="D151" s="329"/>
      <c r="E151" s="129">
        <f>MAX(K108:K127)</f>
        <v>0</v>
      </c>
      <c r="F151" s="330" t="s">
        <v>177</v>
      </c>
      <c r="G151" s="331"/>
      <c r="H151" s="332"/>
      <c r="I151" s="130">
        <f ca="1">IF(OR((J151&lt;$A$2),(J151=$A$2)),IF(($D$2-MONTH(J151))=0,0,IF(AND($D$2-MONTH(J151)=1,DAY(J151)&lt;32,DAY(J151)&gt;4),0,SUM(I108:I150))),"DT PAG &gt; DT HJ")</f>
        <v>0</v>
      </c>
      <c r="J151" s="225">
        <v>44621</v>
      </c>
      <c r="K151" s="19" t="s">
        <v>20</v>
      </c>
      <c r="L151" s="28">
        <f ca="1">SUM(L108:L127)+I151</f>
        <v>0</v>
      </c>
      <c r="M151" s="25">
        <f t="shared" ref="M151:W151" si="224">SUM(M108:M127)</f>
        <v>0</v>
      </c>
      <c r="N151" s="26">
        <f t="shared" si="224"/>
        <v>0</v>
      </c>
      <c r="O151" s="26">
        <f t="shared" si="224"/>
        <v>0</v>
      </c>
      <c r="P151" s="26">
        <f t="shared" si="224"/>
        <v>0</v>
      </c>
      <c r="Q151" s="26">
        <f t="shared" si="224"/>
        <v>0</v>
      </c>
      <c r="R151" s="26">
        <f t="shared" si="224"/>
        <v>0</v>
      </c>
      <c r="S151" s="26">
        <f t="shared" si="224"/>
        <v>0</v>
      </c>
      <c r="T151" s="26">
        <f t="shared" si="224"/>
        <v>0</v>
      </c>
      <c r="U151" s="26">
        <f t="shared" si="224"/>
        <v>0</v>
      </c>
      <c r="V151" s="26">
        <f t="shared" si="224"/>
        <v>0</v>
      </c>
      <c r="W151" s="27">
        <f t="shared" si="224"/>
        <v>0</v>
      </c>
      <c r="X151" s="21">
        <f>SUM(M151:W151)</f>
        <v>0</v>
      </c>
      <c r="Y151" s="76"/>
    </row>
    <row r="152" spans="1:25" ht="14.25" customHeight="1" thickBot="1" x14ac:dyDescent="0.3">
      <c r="B152" s="128"/>
      <c r="C152" s="105"/>
      <c r="D152" s="105"/>
      <c r="E152" s="105"/>
      <c r="F152" s="105"/>
      <c r="G152" s="106"/>
      <c r="H152" s="107"/>
      <c r="I152" s="133"/>
      <c r="J152" s="310" t="s">
        <v>21</v>
      </c>
      <c r="K152" s="107"/>
      <c r="L152" s="311"/>
      <c r="M152" s="155">
        <f ca="1">IFERROR(M151/M$264,0)</f>
        <v>0</v>
      </c>
      <c r="N152" s="156">
        <f t="shared" ref="N152:W152" ca="1" si="225">IFERROR(N151/N$264,0)</f>
        <v>0</v>
      </c>
      <c r="O152" s="156">
        <f t="shared" ca="1" si="225"/>
        <v>0</v>
      </c>
      <c r="P152" s="156">
        <f t="shared" ca="1" si="225"/>
        <v>0</v>
      </c>
      <c r="Q152" s="156">
        <f t="shared" ca="1" si="225"/>
        <v>0</v>
      </c>
      <c r="R152" s="156">
        <f t="shared" ca="1" si="225"/>
        <v>0</v>
      </c>
      <c r="S152" s="156">
        <f t="shared" ca="1" si="225"/>
        <v>0</v>
      </c>
      <c r="T152" s="156">
        <f t="shared" ca="1" si="225"/>
        <v>0</v>
      </c>
      <c r="U152" s="156">
        <f t="shared" ca="1" si="225"/>
        <v>0</v>
      </c>
      <c r="V152" s="156">
        <f t="shared" ca="1" si="225"/>
        <v>0</v>
      </c>
      <c r="W152" s="157">
        <f t="shared" ca="1" si="225"/>
        <v>0</v>
      </c>
      <c r="X152" s="154"/>
    </row>
    <row r="153" spans="1:25" ht="14.25" customHeight="1" thickBot="1" x14ac:dyDescent="0.3">
      <c r="A153" s="75"/>
      <c r="B153" s="340" t="s">
        <v>171</v>
      </c>
      <c r="C153" s="341"/>
      <c r="D153" s="341"/>
      <c r="E153" s="341"/>
      <c r="F153" s="341"/>
      <c r="G153" s="341"/>
      <c r="H153" s="341"/>
      <c r="I153" s="393"/>
      <c r="J153" s="394"/>
      <c r="K153" s="394"/>
      <c r="L153" s="395"/>
      <c r="M153" s="333" t="str">
        <f>B153</f>
        <v>CARTÃO-05 | FINAL:XXXX</v>
      </c>
      <c r="N153" s="333"/>
      <c r="O153" s="333"/>
      <c r="P153" s="333"/>
      <c r="Q153" s="333"/>
      <c r="R153" s="333"/>
      <c r="S153" s="333"/>
      <c r="T153" s="333"/>
      <c r="U153" s="333"/>
      <c r="V153" s="333"/>
      <c r="W153" s="334"/>
      <c r="X153" s="76"/>
    </row>
    <row r="154" spans="1:25" ht="14.25" customHeight="1" x14ac:dyDescent="0.25">
      <c r="A154" s="75"/>
      <c r="B154" s="270"/>
      <c r="C154" s="271"/>
      <c r="D154" s="272"/>
      <c r="E154" s="272"/>
      <c r="F154" s="273"/>
      <c r="G154" s="272"/>
      <c r="H154" s="274"/>
      <c r="I154" s="312">
        <f t="shared" ref="I154" ca="1" si="226">IF(AND(F154="anual",MONTH(B154)&lt;&gt;$D$2),0,IF(OR(J154=0,J154="TOTALMENTE PAGA"),0,H154))</f>
        <v>0</v>
      </c>
      <c r="J154" s="313" t="str">
        <f t="shared" ref="J154:J199" si="227">IF(OR(G154=0,B154=0,F154=0),"INSERIR DATAS E TOT PARC",IF(OR(F154="mensal",F154="anual"),IF(F154="anual",IF(OR(AND((MONTH(B154)=MONTH($A$2)),(DAY(B154)&gt;DAY($A$2))),AND((MONTH(B154)-1=MONTH($A$2)),(DAY(B154)&lt;=DAY($A$2)))),1,0),1),IF(B154&gt;G154,"DATAS INVALIDAS",IF(OR($A$2&lt;EDATE(G154,-1),$A$2=EDATE(G154,-1)),0,IF(OR($A$2&lt;G154,$A$2=G154),1,IF(DAY($A$2)&lt;5,IF(((YEAR($A$2)-YEAR(G154))*12+(MONTH($A$2)-MONTH(G154)+1))&gt;F154,"TOTALMENTE PAGA",(YEAR($A$2)-YEAR(G154))*12+(MONTH($A$2)-MONTH(G154)+1)),IF(($A$2&gt;K154),"TOTALMENTE PAGA",(YEAR($A$2)-YEAR(G154))*12+(MONTH($A$2)-MONTH(G154)+2))))))))</f>
        <v>INSERIR DATAS E TOT PARC</v>
      </c>
      <c r="K154" s="10" t="str">
        <f t="shared" ref="K154" si="228">IF(OR(F154="anual",F154="mensal",B154=0),"---",EDATE(G154,F154-1))</f>
        <v>---</v>
      </c>
      <c r="L154" s="314">
        <f t="shared" ref="L154" si="229">IF(OR(F154="mensal",F154="anual"),IF(J154=1,H154,0),IF(H154=0,0,IF(J154="TOTALMENTE PAGA",0,(F154-J154)*H154)))</f>
        <v>0</v>
      </c>
      <c r="M154" s="12">
        <f>IF(F154="anual",IF(MONTH(B154)=$M$3,H154,0),IF(F154="mensal",I154,IF(K154="---",0,IF($M$2&lt;YEAR(K154),H154,IF($M$2=YEAR(K154),IF(OR($M$3&lt;MONTH(K154),$M$3=MONTH(K154)),H154,0),0)))))</f>
        <v>0</v>
      </c>
      <c r="N154" s="13">
        <f>IF(F154="anual",IF(MONTH(B154)=$N$3,H154,0),IF(F154="mensal",I154,IF(K154="---",0,IF($N$2&lt;YEAR(K154),H154,IF($N$2=YEAR(K154),IF(OR($N$3&lt;MONTH(K154),$N$3=MONTH(K154)),H154,0),0)))))</f>
        <v>0</v>
      </c>
      <c r="O154" s="13">
        <f>IF(F154="anual",IF(MONTH(B154)=$O$3,H154,0),IF(F154="mensal",I154,IF(K154="---",0,IF($O$2&lt;YEAR(K154),H154,IF($O$2=YEAR(K154),IF(OR($O$3&lt;MONTH(K154),$O$3=MONTH(K154)),H154,0),0)))))</f>
        <v>0</v>
      </c>
      <c r="P154" s="13">
        <f>IF(F154="anual",IF(MONTH(B154)=$P$3,H154,0),IF(F154="mensal",I154,IF(K154="---",0,IF($P$2&lt;YEAR(K154),H154,IF($P$2=YEAR(K154),IF(OR($P$3&lt;MONTH(K154),$P$3=MONTH(K154)),H154,0),0)))))</f>
        <v>0</v>
      </c>
      <c r="Q154" s="13">
        <f>IF(F154="anual",IF(MONTH(B154)=$Q$3,H154,0),IF(F154="mensal",I154,IF(K154="---",0,IF($Q$2&lt;YEAR(K154),H154,IF($Q$2=YEAR(K154),IF(OR($Q$3&lt;MONTH(K154),$Q$3=MONTH(K154)),H154,0),0)))))</f>
        <v>0</v>
      </c>
      <c r="R154" s="13">
        <f>IF(F154="anual",IF(MONTH(B154)=$R$3,H154,0),IF(F154="mensal",I154,IF(K154="---",0,IF($R$2&lt;YEAR(K154),H154,IF($R$2=YEAR(K154),IF(OR($R$3&lt;MONTH(K154),$R$3=MONTH(K154)),H154,0),0)))))</f>
        <v>0</v>
      </c>
      <c r="S154" s="13">
        <f>IF(F154="anual",IF(MONTH(B154)=$S$3,H154,0),IF(F154="mensal",I154,IF(K154="---",0,IF($S$2&lt;YEAR(K154),H154,IF($S$2=YEAR(K154),IF(OR($S$3&lt;MONTH(K154),$S$3=MONTH(K154)),H154,0),0)))))</f>
        <v>0</v>
      </c>
      <c r="T154" s="13">
        <f>IF(F154="anual",IF(MONTH(B154)=$T$3,H154,0),IF(F154="mensal",I154,IF(K154="---",0,IF($T$2&lt;YEAR(K154),H154,IF($T$2=YEAR(K154),IF(OR($T$3&lt;MONTH(K154),$T$3=MONTH(K154)),H154,0),0)))))</f>
        <v>0</v>
      </c>
      <c r="U154" s="13">
        <f>IF(F154="anual",IF(MONTH(B154)=$U$3,H154,0),IF(F154="mensal",I154,IF(K154="---",0,IF($U$2&lt;YEAR(K154),H154,IF($U$2=YEAR(K154),IF(OR($U$3&lt;MONTH(K154),$U$3=MONTH(K154)),H154,0),0)))))</f>
        <v>0</v>
      </c>
      <c r="V154" s="13">
        <f>IF(F154="anual",IF(MONTH(B154)=$V$3,H154,0),IF(F154="mensal",I154,IF(K154="---",0,IF($V$2&lt;YEAR(K154),H154,IF($V$2=YEAR(K154),IF(OR($V$3&lt;MONTH(K154),$V$3=MONTH(K154)),H154,0),0)))))</f>
        <v>0</v>
      </c>
      <c r="W154" s="14">
        <f>IF(F154="anual",IF(MONTH(B154)=$W$3,H154,0),IF(F154="mensal",I154,IF(K154="---",0,IF($W$2&lt;YEAR(K154),H154,IF($W$2=YEAR(K154),IF(OR($W$3&lt;MONTH(K154),$W$3=MONTH(K154)),H154,0),0)))))</f>
        <v>0</v>
      </c>
      <c r="X154" s="154"/>
    </row>
    <row r="155" spans="1:25" ht="14.25" customHeight="1" x14ac:dyDescent="0.25">
      <c r="A155" s="75"/>
      <c r="B155" s="270"/>
      <c r="C155" s="271"/>
      <c r="D155" s="272"/>
      <c r="E155" s="272"/>
      <c r="F155" s="273"/>
      <c r="G155" s="272"/>
      <c r="H155" s="274"/>
      <c r="I155" s="8">
        <f t="shared" ref="I155:I199" ca="1" si="230">IF(AND(F155="anual",MONTH(B155)&lt;&gt;$D$2),0,IF(OR(J155=0,J155="TOTALMENTE PAGA"),0,H155))</f>
        <v>0</v>
      </c>
      <c r="J155" s="9" t="str">
        <f t="shared" si="227"/>
        <v>INSERIR DATAS E TOT PARC</v>
      </c>
      <c r="K155" s="10" t="str">
        <f t="shared" ref="K155:K199" si="231">IF(OR(F155="anual",F155="mensal",B155=0),"---",EDATE(G155,F155-1))</f>
        <v>---</v>
      </c>
      <c r="L155" s="11">
        <f t="shared" ref="L155:L199" si="232">IF(OR(F155="mensal",F155="anual"),IF(J155=1,H155,0),IF(H155=0,0,IF(J155="TOTALMENTE PAGA",0,(F155-J155)*H155)))</f>
        <v>0</v>
      </c>
      <c r="M155" s="12">
        <f t="shared" ref="M155:M199" si="233">IF(F155="anual",IF(MONTH(B155)=$M$3,H155,0),IF(F155="mensal",I155,IF(K155="---",0,IF($M$2&lt;YEAR(K155),H155,IF($M$2=YEAR(K155),IF(OR($M$3&lt;MONTH(K155),$M$3=MONTH(K155)),H155,0),0)))))</f>
        <v>0</v>
      </c>
      <c r="N155" s="13">
        <f t="shared" ref="N155:N199" si="234">IF(F155="anual",IF(MONTH(B155)=$N$3,H155,0),IF(F155="mensal",I155,IF(K155="---",0,IF($N$2&lt;YEAR(K155),H155,IF($N$2=YEAR(K155),IF(OR($N$3&lt;MONTH(K155),$N$3=MONTH(K155)),H155,0),0)))))</f>
        <v>0</v>
      </c>
      <c r="O155" s="13">
        <f t="shared" ref="O155:O199" si="235">IF(F155="anual",IF(MONTH(B155)=$O$3,H155,0),IF(F155="mensal",I155,IF(K155="---",0,IF($O$2&lt;YEAR(K155),H155,IF($O$2=YEAR(K155),IF(OR($O$3&lt;MONTH(K155),$O$3=MONTH(K155)),H155,0),0)))))</f>
        <v>0</v>
      </c>
      <c r="P155" s="13">
        <f t="shared" ref="P155:P199" si="236">IF(F155="anual",IF(MONTH(B155)=$P$3,H155,0),IF(F155="mensal",I155,IF(K155="---",0,IF($P$2&lt;YEAR(K155),H155,IF($P$2=YEAR(K155),IF(OR($P$3&lt;MONTH(K155),$P$3=MONTH(K155)),H155,0),0)))))</f>
        <v>0</v>
      </c>
      <c r="Q155" s="13">
        <f t="shared" ref="Q155:Q199" si="237">IF(F155="anual",IF(MONTH(B155)=$Q$3,H155,0),IF(F155="mensal",I155,IF(K155="---",0,IF($Q$2&lt;YEAR(K155),H155,IF($Q$2=YEAR(K155),IF(OR($Q$3&lt;MONTH(K155),$Q$3=MONTH(K155)),H155,0),0)))))</f>
        <v>0</v>
      </c>
      <c r="R155" s="13">
        <f t="shared" ref="R155:R199" si="238">IF(F155="anual",IF(MONTH(B155)=$R$3,H155,0),IF(F155="mensal",I155,IF(K155="---",0,IF($R$2&lt;YEAR(K155),H155,IF($R$2=YEAR(K155),IF(OR($R$3&lt;MONTH(K155),$R$3=MONTH(K155)),H155,0),0)))))</f>
        <v>0</v>
      </c>
      <c r="S155" s="13">
        <f t="shared" ref="S155:S199" si="239">IF(F155="anual",IF(MONTH(B155)=$S$3,H155,0),IF(F155="mensal",I155,IF(K155="---",0,IF($S$2&lt;YEAR(K155),H155,IF($S$2=YEAR(K155),IF(OR($S$3&lt;MONTH(K155),$S$3=MONTH(K155)),H155,0),0)))))</f>
        <v>0</v>
      </c>
      <c r="T155" s="13">
        <f t="shared" ref="T155:T199" si="240">IF(F155="anual",IF(MONTH(B155)=$T$3,H155,0),IF(F155="mensal",I155,IF(K155="---",0,IF($T$2&lt;YEAR(K155),H155,IF($T$2=YEAR(K155),IF(OR($T$3&lt;MONTH(K155),$T$3=MONTH(K155)),H155,0),0)))))</f>
        <v>0</v>
      </c>
      <c r="U155" s="13">
        <f t="shared" ref="U155:U199" si="241">IF(F155="anual",IF(MONTH(B155)=$U$3,H155,0),IF(F155="mensal",I155,IF(K155="---",0,IF($U$2&lt;YEAR(K155),H155,IF($U$2=YEAR(K155),IF(OR($U$3&lt;MONTH(K155),$U$3=MONTH(K155)),H155,0),0)))))</f>
        <v>0</v>
      </c>
      <c r="V155" s="13">
        <f t="shared" ref="V155:V199" si="242">IF(F155="anual",IF(MONTH(B155)=$V$3,H155,0),IF(F155="mensal",I155,IF(K155="---",0,IF($V$2&lt;YEAR(K155),H155,IF($V$2=YEAR(K155),IF(OR($V$3&lt;MONTH(K155),$V$3=MONTH(K155)),H155,0),0)))))</f>
        <v>0</v>
      </c>
      <c r="W155" s="14">
        <f t="shared" ref="W155:W199" si="243">IF(F155="anual",IF(MONTH(B155)=$W$3,H155,0),IF(F155="mensal",I155,IF(K155="---",0,IF($W$2&lt;YEAR(K155),H155,IF($W$2=YEAR(K155),IF(OR($W$3&lt;MONTH(K155),$W$3=MONTH(K155)),H155,0),0)))))</f>
        <v>0</v>
      </c>
      <c r="X155" s="154"/>
    </row>
    <row r="156" spans="1:25" ht="14.25" customHeight="1" x14ac:dyDescent="0.25">
      <c r="A156" s="72"/>
      <c r="B156" s="270"/>
      <c r="C156" s="271"/>
      <c r="D156" s="272"/>
      <c r="E156" s="272"/>
      <c r="F156" s="273"/>
      <c r="G156" s="272"/>
      <c r="H156" s="274"/>
      <c r="I156" s="8">
        <f t="shared" ca="1" si="230"/>
        <v>0</v>
      </c>
      <c r="J156" s="9" t="str">
        <f t="shared" si="227"/>
        <v>INSERIR DATAS E TOT PARC</v>
      </c>
      <c r="K156" s="10" t="str">
        <f t="shared" si="231"/>
        <v>---</v>
      </c>
      <c r="L156" s="11">
        <f t="shared" si="232"/>
        <v>0</v>
      </c>
      <c r="M156" s="12">
        <f t="shared" si="233"/>
        <v>0</v>
      </c>
      <c r="N156" s="13">
        <f t="shared" si="234"/>
        <v>0</v>
      </c>
      <c r="O156" s="13">
        <f t="shared" si="235"/>
        <v>0</v>
      </c>
      <c r="P156" s="13">
        <f t="shared" si="236"/>
        <v>0</v>
      </c>
      <c r="Q156" s="13">
        <f t="shared" si="237"/>
        <v>0</v>
      </c>
      <c r="R156" s="13">
        <f t="shared" si="238"/>
        <v>0</v>
      </c>
      <c r="S156" s="13">
        <f t="shared" si="239"/>
        <v>0</v>
      </c>
      <c r="T156" s="13">
        <f t="shared" si="240"/>
        <v>0</v>
      </c>
      <c r="U156" s="13">
        <f t="shared" si="241"/>
        <v>0</v>
      </c>
      <c r="V156" s="13">
        <f t="shared" si="242"/>
        <v>0</v>
      </c>
      <c r="W156" s="14">
        <f t="shared" si="243"/>
        <v>0</v>
      </c>
      <c r="X156" s="154"/>
    </row>
    <row r="157" spans="1:25" ht="14.25" customHeight="1" x14ac:dyDescent="0.25">
      <c r="A157" s="72"/>
      <c r="B157" s="270"/>
      <c r="C157" s="271"/>
      <c r="D157" s="272"/>
      <c r="E157" s="272"/>
      <c r="F157" s="273"/>
      <c r="G157" s="272"/>
      <c r="H157" s="274"/>
      <c r="I157" s="8">
        <f t="shared" ca="1" si="230"/>
        <v>0</v>
      </c>
      <c r="J157" s="9" t="str">
        <f t="shared" si="227"/>
        <v>INSERIR DATAS E TOT PARC</v>
      </c>
      <c r="K157" s="10" t="str">
        <f t="shared" si="231"/>
        <v>---</v>
      </c>
      <c r="L157" s="11">
        <f t="shared" si="232"/>
        <v>0</v>
      </c>
      <c r="M157" s="12">
        <f t="shared" si="233"/>
        <v>0</v>
      </c>
      <c r="N157" s="13">
        <f t="shared" si="234"/>
        <v>0</v>
      </c>
      <c r="O157" s="13">
        <f t="shared" si="235"/>
        <v>0</v>
      </c>
      <c r="P157" s="13">
        <f t="shared" si="236"/>
        <v>0</v>
      </c>
      <c r="Q157" s="13">
        <f t="shared" si="237"/>
        <v>0</v>
      </c>
      <c r="R157" s="13">
        <f t="shared" si="238"/>
        <v>0</v>
      </c>
      <c r="S157" s="13">
        <f t="shared" si="239"/>
        <v>0</v>
      </c>
      <c r="T157" s="13">
        <f t="shared" si="240"/>
        <v>0</v>
      </c>
      <c r="U157" s="13">
        <f t="shared" si="241"/>
        <v>0</v>
      </c>
      <c r="V157" s="13">
        <f t="shared" si="242"/>
        <v>0</v>
      </c>
      <c r="W157" s="14">
        <f t="shared" si="243"/>
        <v>0</v>
      </c>
      <c r="X157" s="154"/>
    </row>
    <row r="158" spans="1:25" ht="14.25" customHeight="1" x14ac:dyDescent="0.25">
      <c r="A158" s="72"/>
      <c r="B158" s="270"/>
      <c r="C158" s="275"/>
      <c r="D158" s="276"/>
      <c r="E158" s="276"/>
      <c r="F158" s="273"/>
      <c r="G158" s="272"/>
      <c r="H158" s="274"/>
      <c r="I158" s="8">
        <f t="shared" ca="1" si="230"/>
        <v>0</v>
      </c>
      <c r="J158" s="9" t="str">
        <f t="shared" si="227"/>
        <v>INSERIR DATAS E TOT PARC</v>
      </c>
      <c r="K158" s="10" t="str">
        <f t="shared" si="231"/>
        <v>---</v>
      </c>
      <c r="L158" s="11">
        <f t="shared" si="232"/>
        <v>0</v>
      </c>
      <c r="M158" s="12">
        <f t="shared" si="233"/>
        <v>0</v>
      </c>
      <c r="N158" s="13">
        <f t="shared" si="234"/>
        <v>0</v>
      </c>
      <c r="O158" s="13">
        <f t="shared" si="235"/>
        <v>0</v>
      </c>
      <c r="P158" s="13">
        <f t="shared" si="236"/>
        <v>0</v>
      </c>
      <c r="Q158" s="13">
        <f t="shared" si="237"/>
        <v>0</v>
      </c>
      <c r="R158" s="13">
        <f t="shared" si="238"/>
        <v>0</v>
      </c>
      <c r="S158" s="13">
        <f t="shared" si="239"/>
        <v>0</v>
      </c>
      <c r="T158" s="13">
        <f t="shared" si="240"/>
        <v>0</v>
      </c>
      <c r="U158" s="13">
        <f t="shared" si="241"/>
        <v>0</v>
      </c>
      <c r="V158" s="13">
        <f t="shared" si="242"/>
        <v>0</v>
      </c>
      <c r="W158" s="14">
        <f t="shared" si="243"/>
        <v>0</v>
      </c>
      <c r="X158" s="154"/>
    </row>
    <row r="159" spans="1:25" ht="14.25" customHeight="1" x14ac:dyDescent="0.25">
      <c r="A159" s="76"/>
      <c r="B159" s="270"/>
      <c r="C159" s="271"/>
      <c r="D159" s="272"/>
      <c r="E159" s="272"/>
      <c r="F159" s="273"/>
      <c r="G159" s="272"/>
      <c r="H159" s="274"/>
      <c r="I159" s="8">
        <f t="shared" ca="1" si="230"/>
        <v>0</v>
      </c>
      <c r="J159" s="9" t="str">
        <f t="shared" si="227"/>
        <v>INSERIR DATAS E TOT PARC</v>
      </c>
      <c r="K159" s="10" t="str">
        <f t="shared" si="231"/>
        <v>---</v>
      </c>
      <c r="L159" s="11">
        <f t="shared" si="232"/>
        <v>0</v>
      </c>
      <c r="M159" s="12">
        <f t="shared" si="233"/>
        <v>0</v>
      </c>
      <c r="N159" s="13">
        <f t="shared" si="234"/>
        <v>0</v>
      </c>
      <c r="O159" s="13">
        <f t="shared" si="235"/>
        <v>0</v>
      </c>
      <c r="P159" s="13">
        <f t="shared" si="236"/>
        <v>0</v>
      </c>
      <c r="Q159" s="13">
        <f t="shared" si="237"/>
        <v>0</v>
      </c>
      <c r="R159" s="13">
        <f t="shared" si="238"/>
        <v>0</v>
      </c>
      <c r="S159" s="13">
        <f t="shared" si="239"/>
        <v>0</v>
      </c>
      <c r="T159" s="13">
        <f t="shared" si="240"/>
        <v>0</v>
      </c>
      <c r="U159" s="13">
        <f t="shared" si="241"/>
        <v>0</v>
      </c>
      <c r="V159" s="13">
        <f t="shared" si="242"/>
        <v>0</v>
      </c>
      <c r="W159" s="14">
        <f t="shared" si="243"/>
        <v>0</v>
      </c>
      <c r="X159" s="154"/>
    </row>
    <row r="160" spans="1:25" ht="14.25" customHeight="1" x14ac:dyDescent="0.25">
      <c r="B160" s="270"/>
      <c r="C160" s="271"/>
      <c r="D160" s="272"/>
      <c r="E160" s="272"/>
      <c r="F160" s="273"/>
      <c r="G160" s="272"/>
      <c r="H160" s="274"/>
      <c r="I160" s="8">
        <f t="shared" ca="1" si="230"/>
        <v>0</v>
      </c>
      <c r="J160" s="9" t="str">
        <f t="shared" si="227"/>
        <v>INSERIR DATAS E TOT PARC</v>
      </c>
      <c r="K160" s="10" t="str">
        <f t="shared" si="231"/>
        <v>---</v>
      </c>
      <c r="L160" s="11">
        <f t="shared" si="232"/>
        <v>0</v>
      </c>
      <c r="M160" s="12">
        <f t="shared" si="233"/>
        <v>0</v>
      </c>
      <c r="N160" s="13">
        <f t="shared" si="234"/>
        <v>0</v>
      </c>
      <c r="O160" s="13">
        <f t="shared" si="235"/>
        <v>0</v>
      </c>
      <c r="P160" s="13">
        <f t="shared" si="236"/>
        <v>0</v>
      </c>
      <c r="Q160" s="13">
        <f t="shared" si="237"/>
        <v>0</v>
      </c>
      <c r="R160" s="13">
        <f t="shared" si="238"/>
        <v>0</v>
      </c>
      <c r="S160" s="13">
        <f t="shared" si="239"/>
        <v>0</v>
      </c>
      <c r="T160" s="13">
        <f t="shared" si="240"/>
        <v>0</v>
      </c>
      <c r="U160" s="13">
        <f t="shared" si="241"/>
        <v>0</v>
      </c>
      <c r="V160" s="13">
        <f t="shared" si="242"/>
        <v>0</v>
      </c>
      <c r="W160" s="14">
        <f t="shared" si="243"/>
        <v>0</v>
      </c>
      <c r="X160" s="154"/>
    </row>
    <row r="161" spans="1:26" ht="14.25" customHeight="1" x14ac:dyDescent="0.25">
      <c r="B161" s="270"/>
      <c r="C161" s="271"/>
      <c r="D161" s="272"/>
      <c r="E161" s="272"/>
      <c r="F161" s="273"/>
      <c r="G161" s="272"/>
      <c r="H161" s="274"/>
      <c r="I161" s="8">
        <f t="shared" ca="1" si="230"/>
        <v>0</v>
      </c>
      <c r="J161" s="9" t="str">
        <f t="shared" si="227"/>
        <v>INSERIR DATAS E TOT PARC</v>
      </c>
      <c r="K161" s="10" t="str">
        <f t="shared" si="231"/>
        <v>---</v>
      </c>
      <c r="L161" s="11">
        <f t="shared" si="232"/>
        <v>0</v>
      </c>
      <c r="M161" s="12">
        <f t="shared" si="233"/>
        <v>0</v>
      </c>
      <c r="N161" s="13">
        <f t="shared" si="234"/>
        <v>0</v>
      </c>
      <c r="O161" s="13">
        <f t="shared" si="235"/>
        <v>0</v>
      </c>
      <c r="P161" s="13">
        <f t="shared" si="236"/>
        <v>0</v>
      </c>
      <c r="Q161" s="13">
        <f t="shared" si="237"/>
        <v>0</v>
      </c>
      <c r="R161" s="13">
        <f t="shared" si="238"/>
        <v>0</v>
      </c>
      <c r="S161" s="13">
        <f t="shared" si="239"/>
        <v>0</v>
      </c>
      <c r="T161" s="13">
        <f t="shared" si="240"/>
        <v>0</v>
      </c>
      <c r="U161" s="13">
        <f t="shared" si="241"/>
        <v>0</v>
      </c>
      <c r="V161" s="13">
        <f t="shared" si="242"/>
        <v>0</v>
      </c>
      <c r="W161" s="14">
        <f t="shared" si="243"/>
        <v>0</v>
      </c>
      <c r="X161" s="154"/>
    </row>
    <row r="162" spans="1:26" ht="14.25" customHeight="1" x14ac:dyDescent="0.25">
      <c r="B162" s="270"/>
      <c r="C162" s="275"/>
      <c r="D162" s="276"/>
      <c r="E162" s="276"/>
      <c r="F162" s="273"/>
      <c r="G162" s="272"/>
      <c r="H162" s="274"/>
      <c r="I162" s="8">
        <f t="shared" ca="1" si="230"/>
        <v>0</v>
      </c>
      <c r="J162" s="9" t="str">
        <f t="shared" si="227"/>
        <v>INSERIR DATAS E TOT PARC</v>
      </c>
      <c r="K162" s="10" t="str">
        <f t="shared" si="231"/>
        <v>---</v>
      </c>
      <c r="L162" s="11">
        <f t="shared" si="232"/>
        <v>0</v>
      </c>
      <c r="M162" s="12">
        <f t="shared" si="233"/>
        <v>0</v>
      </c>
      <c r="N162" s="13">
        <f t="shared" si="234"/>
        <v>0</v>
      </c>
      <c r="O162" s="13">
        <f t="shared" si="235"/>
        <v>0</v>
      </c>
      <c r="P162" s="13">
        <f t="shared" si="236"/>
        <v>0</v>
      </c>
      <c r="Q162" s="13">
        <f t="shared" si="237"/>
        <v>0</v>
      </c>
      <c r="R162" s="13">
        <f t="shared" si="238"/>
        <v>0</v>
      </c>
      <c r="S162" s="13">
        <f t="shared" si="239"/>
        <v>0</v>
      </c>
      <c r="T162" s="13">
        <f t="shared" si="240"/>
        <v>0</v>
      </c>
      <c r="U162" s="13">
        <f t="shared" si="241"/>
        <v>0</v>
      </c>
      <c r="V162" s="13">
        <f t="shared" si="242"/>
        <v>0</v>
      </c>
      <c r="W162" s="14">
        <f t="shared" si="243"/>
        <v>0</v>
      </c>
      <c r="X162" s="154"/>
    </row>
    <row r="163" spans="1:26" ht="14.25" customHeight="1" x14ac:dyDescent="0.25">
      <c r="B163" s="270"/>
      <c r="C163" s="271"/>
      <c r="D163" s="276"/>
      <c r="E163" s="276"/>
      <c r="F163" s="273"/>
      <c r="G163" s="272"/>
      <c r="H163" s="274"/>
      <c r="I163" s="8">
        <f t="shared" ca="1" si="230"/>
        <v>0</v>
      </c>
      <c r="J163" s="9" t="str">
        <f t="shared" si="227"/>
        <v>INSERIR DATAS E TOT PARC</v>
      </c>
      <c r="K163" s="10" t="str">
        <f t="shared" si="231"/>
        <v>---</v>
      </c>
      <c r="L163" s="11">
        <f t="shared" si="232"/>
        <v>0</v>
      </c>
      <c r="M163" s="12">
        <f t="shared" si="233"/>
        <v>0</v>
      </c>
      <c r="N163" s="13">
        <f t="shared" si="234"/>
        <v>0</v>
      </c>
      <c r="O163" s="13">
        <f t="shared" si="235"/>
        <v>0</v>
      </c>
      <c r="P163" s="13">
        <f t="shared" si="236"/>
        <v>0</v>
      </c>
      <c r="Q163" s="13">
        <f t="shared" si="237"/>
        <v>0</v>
      </c>
      <c r="R163" s="13">
        <f t="shared" si="238"/>
        <v>0</v>
      </c>
      <c r="S163" s="13">
        <f t="shared" si="239"/>
        <v>0</v>
      </c>
      <c r="T163" s="13">
        <f t="shared" si="240"/>
        <v>0</v>
      </c>
      <c r="U163" s="13">
        <f t="shared" si="241"/>
        <v>0</v>
      </c>
      <c r="V163" s="13">
        <f t="shared" si="242"/>
        <v>0</v>
      </c>
      <c r="W163" s="14">
        <f t="shared" si="243"/>
        <v>0</v>
      </c>
      <c r="X163" s="154"/>
    </row>
    <row r="164" spans="1:26" ht="14.25" customHeight="1" x14ac:dyDescent="0.25">
      <c r="A164" s="76"/>
      <c r="B164" s="270"/>
      <c r="C164" s="275"/>
      <c r="D164" s="276"/>
      <c r="E164" s="276"/>
      <c r="F164" s="273"/>
      <c r="G164" s="272"/>
      <c r="H164" s="274"/>
      <c r="I164" s="8">
        <f t="shared" ca="1" si="230"/>
        <v>0</v>
      </c>
      <c r="J164" s="9" t="str">
        <f t="shared" si="227"/>
        <v>INSERIR DATAS E TOT PARC</v>
      </c>
      <c r="K164" s="10" t="str">
        <f t="shared" si="231"/>
        <v>---</v>
      </c>
      <c r="L164" s="11">
        <f t="shared" si="232"/>
        <v>0</v>
      </c>
      <c r="M164" s="12">
        <f t="shared" si="233"/>
        <v>0</v>
      </c>
      <c r="N164" s="13">
        <f t="shared" si="234"/>
        <v>0</v>
      </c>
      <c r="O164" s="13">
        <f t="shared" si="235"/>
        <v>0</v>
      </c>
      <c r="P164" s="13">
        <f t="shared" si="236"/>
        <v>0</v>
      </c>
      <c r="Q164" s="13">
        <f t="shared" si="237"/>
        <v>0</v>
      </c>
      <c r="R164" s="13">
        <f t="shared" si="238"/>
        <v>0</v>
      </c>
      <c r="S164" s="13">
        <f t="shared" si="239"/>
        <v>0</v>
      </c>
      <c r="T164" s="13">
        <f t="shared" si="240"/>
        <v>0</v>
      </c>
      <c r="U164" s="13">
        <f t="shared" si="241"/>
        <v>0</v>
      </c>
      <c r="V164" s="13">
        <f t="shared" si="242"/>
        <v>0</v>
      </c>
      <c r="W164" s="14">
        <f t="shared" si="243"/>
        <v>0</v>
      </c>
      <c r="X164" s="154"/>
    </row>
    <row r="165" spans="1:26" ht="14.25" customHeight="1" x14ac:dyDescent="0.25">
      <c r="B165" s="270"/>
      <c r="C165" s="271"/>
      <c r="D165" s="272"/>
      <c r="E165" s="272"/>
      <c r="F165" s="273"/>
      <c r="G165" s="272"/>
      <c r="H165" s="274"/>
      <c r="I165" s="8">
        <f t="shared" ca="1" si="230"/>
        <v>0</v>
      </c>
      <c r="J165" s="9" t="str">
        <f t="shared" si="227"/>
        <v>INSERIR DATAS E TOT PARC</v>
      </c>
      <c r="K165" s="10" t="str">
        <f t="shared" si="231"/>
        <v>---</v>
      </c>
      <c r="L165" s="11">
        <f t="shared" si="232"/>
        <v>0</v>
      </c>
      <c r="M165" s="12">
        <f t="shared" si="233"/>
        <v>0</v>
      </c>
      <c r="N165" s="13">
        <f t="shared" si="234"/>
        <v>0</v>
      </c>
      <c r="O165" s="13">
        <f t="shared" si="235"/>
        <v>0</v>
      </c>
      <c r="P165" s="13">
        <f t="shared" si="236"/>
        <v>0</v>
      </c>
      <c r="Q165" s="13">
        <f t="shared" si="237"/>
        <v>0</v>
      </c>
      <c r="R165" s="13">
        <f t="shared" si="238"/>
        <v>0</v>
      </c>
      <c r="S165" s="13">
        <f t="shared" si="239"/>
        <v>0</v>
      </c>
      <c r="T165" s="13">
        <f t="shared" si="240"/>
        <v>0</v>
      </c>
      <c r="U165" s="13">
        <f t="shared" si="241"/>
        <v>0</v>
      </c>
      <c r="V165" s="13">
        <f t="shared" si="242"/>
        <v>0</v>
      </c>
      <c r="W165" s="14">
        <f t="shared" si="243"/>
        <v>0</v>
      </c>
      <c r="X165" s="154"/>
    </row>
    <row r="166" spans="1:26" ht="14.25" customHeight="1" x14ac:dyDescent="0.25">
      <c r="A166" s="76"/>
      <c r="B166" s="270"/>
      <c r="C166" s="271"/>
      <c r="D166" s="272"/>
      <c r="E166" s="272"/>
      <c r="F166" s="273"/>
      <c r="G166" s="272"/>
      <c r="H166" s="274"/>
      <c r="I166" s="8">
        <f t="shared" ca="1" si="230"/>
        <v>0</v>
      </c>
      <c r="J166" s="9" t="str">
        <f t="shared" si="227"/>
        <v>INSERIR DATAS E TOT PARC</v>
      </c>
      <c r="K166" s="10" t="str">
        <f t="shared" si="231"/>
        <v>---</v>
      </c>
      <c r="L166" s="11">
        <f t="shared" si="232"/>
        <v>0</v>
      </c>
      <c r="M166" s="12">
        <f t="shared" si="233"/>
        <v>0</v>
      </c>
      <c r="N166" s="13">
        <f t="shared" si="234"/>
        <v>0</v>
      </c>
      <c r="O166" s="13">
        <f t="shared" si="235"/>
        <v>0</v>
      </c>
      <c r="P166" s="13">
        <f t="shared" si="236"/>
        <v>0</v>
      </c>
      <c r="Q166" s="13">
        <f t="shared" si="237"/>
        <v>0</v>
      </c>
      <c r="R166" s="13">
        <f t="shared" si="238"/>
        <v>0</v>
      </c>
      <c r="S166" s="13">
        <f t="shared" si="239"/>
        <v>0</v>
      </c>
      <c r="T166" s="13">
        <f t="shared" si="240"/>
        <v>0</v>
      </c>
      <c r="U166" s="13">
        <f t="shared" si="241"/>
        <v>0</v>
      </c>
      <c r="V166" s="13">
        <f t="shared" si="242"/>
        <v>0</v>
      </c>
      <c r="W166" s="14">
        <f t="shared" si="243"/>
        <v>0</v>
      </c>
      <c r="X166" s="154"/>
    </row>
    <row r="167" spans="1:26" ht="14.25" customHeight="1" x14ac:dyDescent="0.25">
      <c r="A167" s="76"/>
      <c r="B167" s="270"/>
      <c r="C167" s="271"/>
      <c r="D167" s="272"/>
      <c r="E167" s="272"/>
      <c r="F167" s="273"/>
      <c r="G167" s="272"/>
      <c r="H167" s="274"/>
      <c r="I167" s="8">
        <f t="shared" ca="1" si="230"/>
        <v>0</v>
      </c>
      <c r="J167" s="9" t="str">
        <f t="shared" si="227"/>
        <v>INSERIR DATAS E TOT PARC</v>
      </c>
      <c r="K167" s="10" t="str">
        <f t="shared" si="231"/>
        <v>---</v>
      </c>
      <c r="L167" s="11">
        <f t="shared" si="232"/>
        <v>0</v>
      </c>
      <c r="M167" s="12">
        <f t="shared" si="233"/>
        <v>0</v>
      </c>
      <c r="N167" s="13">
        <f t="shared" si="234"/>
        <v>0</v>
      </c>
      <c r="O167" s="13">
        <f t="shared" si="235"/>
        <v>0</v>
      </c>
      <c r="P167" s="13">
        <f t="shared" si="236"/>
        <v>0</v>
      </c>
      <c r="Q167" s="13">
        <f t="shared" si="237"/>
        <v>0</v>
      </c>
      <c r="R167" s="13">
        <f t="shared" si="238"/>
        <v>0</v>
      </c>
      <c r="S167" s="13">
        <f t="shared" si="239"/>
        <v>0</v>
      </c>
      <c r="T167" s="13">
        <f t="shared" si="240"/>
        <v>0</v>
      </c>
      <c r="U167" s="13">
        <f t="shared" si="241"/>
        <v>0</v>
      </c>
      <c r="V167" s="13">
        <f t="shared" si="242"/>
        <v>0</v>
      </c>
      <c r="W167" s="14">
        <f t="shared" si="243"/>
        <v>0</v>
      </c>
      <c r="X167" s="154"/>
    </row>
    <row r="168" spans="1:26" ht="14.25" customHeight="1" x14ac:dyDescent="0.25">
      <c r="A168" s="76"/>
      <c r="B168" s="270"/>
      <c r="C168" s="271"/>
      <c r="D168" s="272"/>
      <c r="E168" s="272"/>
      <c r="F168" s="273"/>
      <c r="G168" s="272"/>
      <c r="H168" s="274"/>
      <c r="I168" s="8">
        <f t="shared" ca="1" si="230"/>
        <v>0</v>
      </c>
      <c r="J168" s="9" t="str">
        <f t="shared" si="227"/>
        <v>INSERIR DATAS E TOT PARC</v>
      </c>
      <c r="K168" s="10" t="str">
        <f t="shared" si="231"/>
        <v>---</v>
      </c>
      <c r="L168" s="11">
        <f t="shared" si="232"/>
        <v>0</v>
      </c>
      <c r="M168" s="12">
        <f t="shared" si="233"/>
        <v>0</v>
      </c>
      <c r="N168" s="13">
        <f t="shared" si="234"/>
        <v>0</v>
      </c>
      <c r="O168" s="13">
        <f t="shared" si="235"/>
        <v>0</v>
      </c>
      <c r="P168" s="13">
        <f t="shared" si="236"/>
        <v>0</v>
      </c>
      <c r="Q168" s="13">
        <f t="shared" si="237"/>
        <v>0</v>
      </c>
      <c r="R168" s="13">
        <f t="shared" si="238"/>
        <v>0</v>
      </c>
      <c r="S168" s="13">
        <f t="shared" si="239"/>
        <v>0</v>
      </c>
      <c r="T168" s="13">
        <f t="shared" si="240"/>
        <v>0</v>
      </c>
      <c r="U168" s="13">
        <f t="shared" si="241"/>
        <v>0</v>
      </c>
      <c r="V168" s="13">
        <f t="shared" si="242"/>
        <v>0</v>
      </c>
      <c r="W168" s="14">
        <f t="shared" si="243"/>
        <v>0</v>
      </c>
      <c r="X168" s="154"/>
    </row>
    <row r="169" spans="1:26" ht="14.25" customHeight="1" x14ac:dyDescent="0.25">
      <c r="A169" s="76"/>
      <c r="B169" s="270"/>
      <c r="C169" s="271"/>
      <c r="D169" s="272"/>
      <c r="E169" s="272"/>
      <c r="F169" s="273"/>
      <c r="G169" s="272"/>
      <c r="H169" s="274"/>
      <c r="I169" s="8">
        <f t="shared" ca="1" si="230"/>
        <v>0</v>
      </c>
      <c r="J169" s="9" t="str">
        <f t="shared" si="227"/>
        <v>INSERIR DATAS E TOT PARC</v>
      </c>
      <c r="K169" s="10" t="str">
        <f t="shared" si="231"/>
        <v>---</v>
      </c>
      <c r="L169" s="11">
        <f t="shared" si="232"/>
        <v>0</v>
      </c>
      <c r="M169" s="12">
        <f t="shared" si="233"/>
        <v>0</v>
      </c>
      <c r="N169" s="13">
        <f t="shared" si="234"/>
        <v>0</v>
      </c>
      <c r="O169" s="13">
        <f t="shared" si="235"/>
        <v>0</v>
      </c>
      <c r="P169" s="13">
        <f t="shared" si="236"/>
        <v>0</v>
      </c>
      <c r="Q169" s="13">
        <f t="shared" si="237"/>
        <v>0</v>
      </c>
      <c r="R169" s="13">
        <f t="shared" si="238"/>
        <v>0</v>
      </c>
      <c r="S169" s="13">
        <f t="shared" si="239"/>
        <v>0</v>
      </c>
      <c r="T169" s="13">
        <f t="shared" si="240"/>
        <v>0</v>
      </c>
      <c r="U169" s="13">
        <f t="shared" si="241"/>
        <v>0</v>
      </c>
      <c r="V169" s="13">
        <f t="shared" si="242"/>
        <v>0</v>
      </c>
      <c r="W169" s="14">
        <f t="shared" si="243"/>
        <v>0</v>
      </c>
      <c r="X169" s="154"/>
    </row>
    <row r="170" spans="1:26" ht="14.25" customHeight="1" x14ac:dyDescent="0.25">
      <c r="A170" s="5"/>
      <c r="B170" s="270"/>
      <c r="C170" s="271"/>
      <c r="D170" s="272"/>
      <c r="E170" s="272"/>
      <c r="F170" s="273"/>
      <c r="G170" s="272"/>
      <c r="H170" s="274"/>
      <c r="I170" s="8">
        <f t="shared" ca="1" si="230"/>
        <v>0</v>
      </c>
      <c r="J170" s="9" t="str">
        <f t="shared" si="227"/>
        <v>INSERIR DATAS E TOT PARC</v>
      </c>
      <c r="K170" s="10" t="str">
        <f t="shared" si="231"/>
        <v>---</v>
      </c>
      <c r="L170" s="11">
        <f t="shared" si="232"/>
        <v>0</v>
      </c>
      <c r="M170" s="12">
        <f t="shared" si="233"/>
        <v>0</v>
      </c>
      <c r="N170" s="13">
        <f t="shared" si="234"/>
        <v>0</v>
      </c>
      <c r="O170" s="13">
        <f t="shared" si="235"/>
        <v>0</v>
      </c>
      <c r="P170" s="13">
        <f t="shared" si="236"/>
        <v>0</v>
      </c>
      <c r="Q170" s="13">
        <f t="shared" si="237"/>
        <v>0</v>
      </c>
      <c r="R170" s="13">
        <f t="shared" si="238"/>
        <v>0</v>
      </c>
      <c r="S170" s="13">
        <f t="shared" si="239"/>
        <v>0</v>
      </c>
      <c r="T170" s="13">
        <f t="shared" si="240"/>
        <v>0</v>
      </c>
      <c r="U170" s="13">
        <f t="shared" si="241"/>
        <v>0</v>
      </c>
      <c r="V170" s="13">
        <f t="shared" si="242"/>
        <v>0</v>
      </c>
      <c r="W170" s="14">
        <f t="shared" si="243"/>
        <v>0</v>
      </c>
      <c r="X170" s="5"/>
      <c r="Y170" s="5"/>
      <c r="Z170" s="5"/>
    </row>
    <row r="171" spans="1:26" ht="14.25" customHeight="1" x14ac:dyDescent="0.25">
      <c r="A171" s="5"/>
      <c r="B171" s="270"/>
      <c r="C171" s="271"/>
      <c r="D171" s="272"/>
      <c r="E171" s="272"/>
      <c r="F171" s="273"/>
      <c r="G171" s="272"/>
      <c r="H171" s="274"/>
      <c r="I171" s="8">
        <f t="shared" ca="1" si="230"/>
        <v>0</v>
      </c>
      <c r="J171" s="9" t="str">
        <f t="shared" si="227"/>
        <v>INSERIR DATAS E TOT PARC</v>
      </c>
      <c r="K171" s="10" t="str">
        <f t="shared" si="231"/>
        <v>---</v>
      </c>
      <c r="L171" s="11">
        <f t="shared" si="232"/>
        <v>0</v>
      </c>
      <c r="M171" s="12">
        <f t="shared" si="233"/>
        <v>0</v>
      </c>
      <c r="N171" s="13">
        <f t="shared" si="234"/>
        <v>0</v>
      </c>
      <c r="O171" s="13">
        <f t="shared" si="235"/>
        <v>0</v>
      </c>
      <c r="P171" s="13">
        <f t="shared" si="236"/>
        <v>0</v>
      </c>
      <c r="Q171" s="13">
        <f t="shared" si="237"/>
        <v>0</v>
      </c>
      <c r="R171" s="13">
        <f t="shared" si="238"/>
        <v>0</v>
      </c>
      <c r="S171" s="13">
        <f t="shared" si="239"/>
        <v>0</v>
      </c>
      <c r="T171" s="13">
        <f t="shared" si="240"/>
        <v>0</v>
      </c>
      <c r="U171" s="13">
        <f t="shared" si="241"/>
        <v>0</v>
      </c>
      <c r="V171" s="13">
        <f t="shared" si="242"/>
        <v>0</v>
      </c>
      <c r="W171" s="14">
        <f t="shared" si="243"/>
        <v>0</v>
      </c>
      <c r="X171" s="5"/>
      <c r="Y171" s="5"/>
      <c r="Z171" s="5"/>
    </row>
    <row r="172" spans="1:26" s="100" customFormat="1" ht="14.25" customHeight="1" x14ac:dyDescent="0.25">
      <c r="A172" s="81"/>
      <c r="B172" s="270"/>
      <c r="C172" s="271"/>
      <c r="D172" s="272"/>
      <c r="E172" s="272"/>
      <c r="F172" s="273"/>
      <c r="G172" s="272"/>
      <c r="H172" s="274"/>
      <c r="I172" s="8">
        <f t="shared" ca="1" si="230"/>
        <v>0</v>
      </c>
      <c r="J172" s="9" t="str">
        <f t="shared" si="227"/>
        <v>INSERIR DATAS E TOT PARC</v>
      </c>
      <c r="K172" s="10" t="str">
        <f t="shared" si="231"/>
        <v>---</v>
      </c>
      <c r="L172" s="11">
        <f t="shared" si="232"/>
        <v>0</v>
      </c>
      <c r="M172" s="12">
        <f t="shared" si="233"/>
        <v>0</v>
      </c>
      <c r="N172" s="13">
        <f t="shared" si="234"/>
        <v>0</v>
      </c>
      <c r="O172" s="13">
        <f t="shared" si="235"/>
        <v>0</v>
      </c>
      <c r="P172" s="13">
        <f t="shared" si="236"/>
        <v>0</v>
      </c>
      <c r="Q172" s="13">
        <f t="shared" si="237"/>
        <v>0</v>
      </c>
      <c r="R172" s="13">
        <f t="shared" si="238"/>
        <v>0</v>
      </c>
      <c r="S172" s="13">
        <f t="shared" si="239"/>
        <v>0</v>
      </c>
      <c r="T172" s="13">
        <f t="shared" si="240"/>
        <v>0</v>
      </c>
      <c r="U172" s="13">
        <f t="shared" si="241"/>
        <v>0</v>
      </c>
      <c r="V172" s="13">
        <f t="shared" si="242"/>
        <v>0</v>
      </c>
      <c r="W172" s="14">
        <f t="shared" si="243"/>
        <v>0</v>
      </c>
      <c r="X172" s="5"/>
      <c r="Y172" s="5"/>
      <c r="Z172" s="5"/>
    </row>
    <row r="173" spans="1:26" s="100" customFormat="1" ht="14.25" customHeight="1" x14ac:dyDescent="0.25">
      <c r="A173" s="81"/>
      <c r="B173" s="270"/>
      <c r="C173" s="271"/>
      <c r="D173" s="272"/>
      <c r="E173" s="272"/>
      <c r="F173" s="273"/>
      <c r="G173" s="272"/>
      <c r="H173" s="274"/>
      <c r="I173" s="8">
        <f t="shared" ca="1" si="230"/>
        <v>0</v>
      </c>
      <c r="J173" s="9" t="str">
        <f t="shared" si="227"/>
        <v>INSERIR DATAS E TOT PARC</v>
      </c>
      <c r="K173" s="10" t="str">
        <f t="shared" si="231"/>
        <v>---</v>
      </c>
      <c r="L173" s="11">
        <f t="shared" si="232"/>
        <v>0</v>
      </c>
      <c r="M173" s="12">
        <f t="shared" si="233"/>
        <v>0</v>
      </c>
      <c r="N173" s="13">
        <f t="shared" si="234"/>
        <v>0</v>
      </c>
      <c r="O173" s="13">
        <f t="shared" si="235"/>
        <v>0</v>
      </c>
      <c r="P173" s="13">
        <f t="shared" si="236"/>
        <v>0</v>
      </c>
      <c r="Q173" s="13">
        <f t="shared" si="237"/>
        <v>0</v>
      </c>
      <c r="R173" s="13">
        <f t="shared" si="238"/>
        <v>0</v>
      </c>
      <c r="S173" s="13">
        <f t="shared" si="239"/>
        <v>0</v>
      </c>
      <c r="T173" s="13">
        <f t="shared" si="240"/>
        <v>0</v>
      </c>
      <c r="U173" s="13">
        <f t="shared" si="241"/>
        <v>0</v>
      </c>
      <c r="V173" s="13">
        <f t="shared" si="242"/>
        <v>0</v>
      </c>
      <c r="W173" s="14">
        <f t="shared" si="243"/>
        <v>0</v>
      </c>
      <c r="X173" s="5"/>
      <c r="Y173" s="5"/>
      <c r="Z173" s="5"/>
    </row>
    <row r="174" spans="1:26" s="100" customFormat="1" ht="14.25" customHeight="1" x14ac:dyDescent="0.25">
      <c r="A174" s="81"/>
      <c r="B174" s="270"/>
      <c r="C174" s="271"/>
      <c r="D174" s="272"/>
      <c r="E174" s="272"/>
      <c r="F174" s="273"/>
      <c r="G174" s="272"/>
      <c r="H174" s="274"/>
      <c r="I174" s="8">
        <f t="shared" ca="1" si="230"/>
        <v>0</v>
      </c>
      <c r="J174" s="9" t="str">
        <f t="shared" si="227"/>
        <v>INSERIR DATAS E TOT PARC</v>
      </c>
      <c r="K174" s="10" t="str">
        <f t="shared" si="231"/>
        <v>---</v>
      </c>
      <c r="L174" s="11">
        <f t="shared" si="232"/>
        <v>0</v>
      </c>
      <c r="M174" s="12">
        <f t="shared" si="233"/>
        <v>0</v>
      </c>
      <c r="N174" s="13">
        <f t="shared" si="234"/>
        <v>0</v>
      </c>
      <c r="O174" s="13">
        <f t="shared" si="235"/>
        <v>0</v>
      </c>
      <c r="P174" s="13">
        <f t="shared" si="236"/>
        <v>0</v>
      </c>
      <c r="Q174" s="13">
        <f t="shared" si="237"/>
        <v>0</v>
      </c>
      <c r="R174" s="13">
        <f t="shared" si="238"/>
        <v>0</v>
      </c>
      <c r="S174" s="13">
        <f t="shared" si="239"/>
        <v>0</v>
      </c>
      <c r="T174" s="13">
        <f t="shared" si="240"/>
        <v>0</v>
      </c>
      <c r="U174" s="13">
        <f t="shared" si="241"/>
        <v>0</v>
      </c>
      <c r="V174" s="13">
        <f t="shared" si="242"/>
        <v>0</v>
      </c>
      <c r="W174" s="14">
        <f t="shared" si="243"/>
        <v>0</v>
      </c>
      <c r="X174" s="5"/>
      <c r="Y174" s="5"/>
      <c r="Z174" s="5"/>
    </row>
    <row r="175" spans="1:26" s="103" customFormat="1" ht="14.25" customHeight="1" x14ac:dyDescent="0.25">
      <c r="A175" s="81"/>
      <c r="B175" s="270"/>
      <c r="C175" s="271"/>
      <c r="D175" s="272"/>
      <c r="E175" s="272"/>
      <c r="F175" s="273"/>
      <c r="G175" s="272"/>
      <c r="H175" s="274"/>
      <c r="I175" s="8">
        <f t="shared" ca="1" si="230"/>
        <v>0</v>
      </c>
      <c r="J175" s="9" t="str">
        <f t="shared" si="227"/>
        <v>INSERIR DATAS E TOT PARC</v>
      </c>
      <c r="K175" s="10" t="str">
        <f t="shared" si="231"/>
        <v>---</v>
      </c>
      <c r="L175" s="11">
        <f t="shared" si="232"/>
        <v>0</v>
      </c>
      <c r="M175" s="12">
        <f t="shared" si="233"/>
        <v>0</v>
      </c>
      <c r="N175" s="13">
        <f t="shared" si="234"/>
        <v>0</v>
      </c>
      <c r="O175" s="13">
        <f t="shared" si="235"/>
        <v>0</v>
      </c>
      <c r="P175" s="13">
        <f t="shared" si="236"/>
        <v>0</v>
      </c>
      <c r="Q175" s="13">
        <f t="shared" si="237"/>
        <v>0</v>
      </c>
      <c r="R175" s="13">
        <f t="shared" si="238"/>
        <v>0</v>
      </c>
      <c r="S175" s="13">
        <f t="shared" si="239"/>
        <v>0</v>
      </c>
      <c r="T175" s="13">
        <f t="shared" si="240"/>
        <v>0</v>
      </c>
      <c r="U175" s="13">
        <f t="shared" si="241"/>
        <v>0</v>
      </c>
      <c r="V175" s="13">
        <f t="shared" si="242"/>
        <v>0</v>
      </c>
      <c r="W175" s="14">
        <f t="shared" si="243"/>
        <v>0</v>
      </c>
      <c r="X175" s="5"/>
      <c r="Y175" s="5"/>
      <c r="Z175" s="5"/>
    </row>
    <row r="176" spans="1:26" s="103" customFormat="1" ht="14.25" customHeight="1" x14ac:dyDescent="0.25">
      <c r="A176" s="81"/>
      <c r="B176" s="270"/>
      <c r="C176" s="271"/>
      <c r="D176" s="272"/>
      <c r="E176" s="272"/>
      <c r="F176" s="273"/>
      <c r="G176" s="272"/>
      <c r="H176" s="274"/>
      <c r="I176" s="8">
        <f t="shared" ca="1" si="230"/>
        <v>0</v>
      </c>
      <c r="J176" s="9" t="str">
        <f t="shared" si="227"/>
        <v>INSERIR DATAS E TOT PARC</v>
      </c>
      <c r="K176" s="10" t="str">
        <f t="shared" si="231"/>
        <v>---</v>
      </c>
      <c r="L176" s="11">
        <f t="shared" si="232"/>
        <v>0</v>
      </c>
      <c r="M176" s="12">
        <f t="shared" si="233"/>
        <v>0</v>
      </c>
      <c r="N176" s="13">
        <f t="shared" si="234"/>
        <v>0</v>
      </c>
      <c r="O176" s="13">
        <f t="shared" si="235"/>
        <v>0</v>
      </c>
      <c r="P176" s="13">
        <f t="shared" si="236"/>
        <v>0</v>
      </c>
      <c r="Q176" s="13">
        <f t="shared" si="237"/>
        <v>0</v>
      </c>
      <c r="R176" s="13">
        <f t="shared" si="238"/>
        <v>0</v>
      </c>
      <c r="S176" s="13">
        <f t="shared" si="239"/>
        <v>0</v>
      </c>
      <c r="T176" s="13">
        <f t="shared" si="240"/>
        <v>0</v>
      </c>
      <c r="U176" s="13">
        <f t="shared" si="241"/>
        <v>0</v>
      </c>
      <c r="V176" s="13">
        <f t="shared" si="242"/>
        <v>0</v>
      </c>
      <c r="W176" s="14">
        <f t="shared" si="243"/>
        <v>0</v>
      </c>
      <c r="X176" s="5"/>
      <c r="Y176" s="5"/>
      <c r="Z176" s="5"/>
    </row>
    <row r="177" spans="1:26" s="115" customFormat="1" ht="14.25" customHeight="1" x14ac:dyDescent="0.25">
      <c r="A177" s="81"/>
      <c r="B177" s="270"/>
      <c r="C177" s="271"/>
      <c r="D177" s="272"/>
      <c r="E177" s="272"/>
      <c r="F177" s="273"/>
      <c r="G177" s="272"/>
      <c r="H177" s="274"/>
      <c r="I177" s="8">
        <f t="shared" ca="1" si="230"/>
        <v>0</v>
      </c>
      <c r="J177" s="9" t="str">
        <f t="shared" si="227"/>
        <v>INSERIR DATAS E TOT PARC</v>
      </c>
      <c r="K177" s="10" t="str">
        <f t="shared" si="231"/>
        <v>---</v>
      </c>
      <c r="L177" s="11">
        <f t="shared" si="232"/>
        <v>0</v>
      </c>
      <c r="M177" s="12">
        <f t="shared" si="233"/>
        <v>0</v>
      </c>
      <c r="N177" s="13">
        <f t="shared" si="234"/>
        <v>0</v>
      </c>
      <c r="O177" s="13">
        <f t="shared" si="235"/>
        <v>0</v>
      </c>
      <c r="P177" s="13">
        <f t="shared" si="236"/>
        <v>0</v>
      </c>
      <c r="Q177" s="13">
        <f t="shared" si="237"/>
        <v>0</v>
      </c>
      <c r="R177" s="13">
        <f t="shared" si="238"/>
        <v>0</v>
      </c>
      <c r="S177" s="13">
        <f t="shared" si="239"/>
        <v>0</v>
      </c>
      <c r="T177" s="13">
        <f t="shared" si="240"/>
        <v>0</v>
      </c>
      <c r="U177" s="13">
        <f t="shared" si="241"/>
        <v>0</v>
      </c>
      <c r="V177" s="13">
        <f t="shared" si="242"/>
        <v>0</v>
      </c>
      <c r="W177" s="14">
        <f t="shared" si="243"/>
        <v>0</v>
      </c>
      <c r="X177" s="5"/>
      <c r="Y177" s="5"/>
      <c r="Z177" s="5"/>
    </row>
    <row r="178" spans="1:26" s="115" customFormat="1" ht="14.25" customHeight="1" x14ac:dyDescent="0.25">
      <c r="A178" s="81"/>
      <c r="B178" s="270"/>
      <c r="C178" s="271"/>
      <c r="D178" s="272"/>
      <c r="E178" s="272"/>
      <c r="F178" s="273"/>
      <c r="G178" s="272"/>
      <c r="H178" s="274"/>
      <c r="I178" s="8">
        <f t="shared" ca="1" si="230"/>
        <v>0</v>
      </c>
      <c r="J178" s="9" t="str">
        <f t="shared" si="227"/>
        <v>INSERIR DATAS E TOT PARC</v>
      </c>
      <c r="K178" s="10" t="str">
        <f t="shared" si="231"/>
        <v>---</v>
      </c>
      <c r="L178" s="11">
        <f t="shared" si="232"/>
        <v>0</v>
      </c>
      <c r="M178" s="12">
        <f t="shared" si="233"/>
        <v>0</v>
      </c>
      <c r="N178" s="13">
        <f t="shared" si="234"/>
        <v>0</v>
      </c>
      <c r="O178" s="13">
        <f t="shared" si="235"/>
        <v>0</v>
      </c>
      <c r="P178" s="13">
        <f t="shared" si="236"/>
        <v>0</v>
      </c>
      <c r="Q178" s="13">
        <f t="shared" si="237"/>
        <v>0</v>
      </c>
      <c r="R178" s="13">
        <f t="shared" si="238"/>
        <v>0</v>
      </c>
      <c r="S178" s="13">
        <f t="shared" si="239"/>
        <v>0</v>
      </c>
      <c r="T178" s="13">
        <f t="shared" si="240"/>
        <v>0</v>
      </c>
      <c r="U178" s="13">
        <f t="shared" si="241"/>
        <v>0</v>
      </c>
      <c r="V178" s="13">
        <f t="shared" si="242"/>
        <v>0</v>
      </c>
      <c r="W178" s="14">
        <f t="shared" si="243"/>
        <v>0</v>
      </c>
      <c r="X178" s="5"/>
      <c r="Y178" s="5"/>
      <c r="Z178" s="5"/>
    </row>
    <row r="179" spans="1:26" s="115" customFormat="1" ht="14.25" customHeight="1" x14ac:dyDescent="0.25">
      <c r="A179" s="81"/>
      <c r="B179" s="270"/>
      <c r="C179" s="271"/>
      <c r="D179" s="272"/>
      <c r="E179" s="272"/>
      <c r="F179" s="273"/>
      <c r="G179" s="272"/>
      <c r="H179" s="274"/>
      <c r="I179" s="8">
        <f ca="1">IF(AND(F179="anual",MONTH(B179)&lt;&gt;$D$2),0,IF(OR(J179=0,J179="TOTALMENTE PAGA"),0,H179))</f>
        <v>0</v>
      </c>
      <c r="J179" s="9" t="str">
        <f>IF(OR(G179=0,B179=0,F179=0),"INSERIR DATAS E TOT PARC",IF(OR(F179="mensal",F179="anual"),IF(F179="anual",IF(OR(AND((MONTH(B179)=MONTH($A$2)),(DAY(B179)&gt;DAY($A$2))),AND((MONTH(B179)-1=MONTH($A$2)),(DAY(B179)&lt;=DAY($A$2)))),1,0),1),IF(B179&gt;G179,"DATAS INVALIDAS",IF(OR($A$2&lt;EDATE(G179,-1),$A$2=EDATE(G179,-1)),0,IF(OR($A$2&lt;G179,$A$2=G179),1,IF(DAY($A$2)&lt;5,IF(((YEAR($A$2)-YEAR(G179))*12+(MONTH($A$2)-MONTH(G179)+1))&gt;F179,"TOTALMENTE PAGA",(YEAR($A$2)-YEAR(G179))*12+(MONTH($A$2)-MONTH(G179)+1)),IF(($A$2&gt;K179),"TOTALMENTE PAGA",(YEAR($A$2)-YEAR(G179))*12+(MONTH($A$2)-MONTH(G179)+2))))))))</f>
        <v>INSERIR DATAS E TOT PARC</v>
      </c>
      <c r="K179" s="10" t="str">
        <f>IF(OR(F179="anual",F179="mensal",B179=0),"---",EDATE(G179,F179-1))</f>
        <v>---</v>
      </c>
      <c r="L179" s="11">
        <f t="shared" si="232"/>
        <v>0</v>
      </c>
      <c r="M179" s="12">
        <f>IF(F179="anual",IF(MONTH(B179)=$M$3,H179,0),IF(F179="mensal",I179,IF(K179="---",0,IF($M$2&lt;YEAR(K179),H179,IF($M$2=YEAR(K179),IF(OR($M$3&lt;MONTH(K179),$M$3=MONTH(K179)),H179,0),0)))))</f>
        <v>0</v>
      </c>
      <c r="N179" s="13">
        <f>IF(F179="anual",IF(MONTH(B179)=$N$3,H179,0),IF(F179="mensal",I179,IF(K179="---",0,IF($N$2&lt;YEAR(K179),H179,IF($N$2=YEAR(K179),IF(OR($N$3&lt;MONTH(K179),$N$3=MONTH(K179)),H179,0),0)))))</f>
        <v>0</v>
      </c>
      <c r="O179" s="13">
        <f>IF(F179="anual",IF(MONTH(B179)=$O$3,H179,0),IF(F179="mensal",I179,IF(K179="---",0,IF($O$2&lt;YEAR(K179),H179,IF($O$2=YEAR(K179),IF(OR($O$3&lt;MONTH(K179),$O$3=MONTH(K179)),H179,0),0)))))</f>
        <v>0</v>
      </c>
      <c r="P179" s="13">
        <f>IF(F179="anual",IF(MONTH(B179)=$P$3,H179,0),IF(F179="mensal",I179,IF(K179="---",0,IF($P$2&lt;YEAR(K179),H179,IF($P$2=YEAR(K179),IF(OR($P$3&lt;MONTH(K179),$P$3=MONTH(K179)),H179,0),0)))))</f>
        <v>0</v>
      </c>
      <c r="Q179" s="13">
        <f>IF(F179="anual",IF(MONTH(B179)=$Q$3,H179,0),IF(F179="mensal",I179,IF(K179="---",0,IF($Q$2&lt;YEAR(K179),H179,IF($Q$2=YEAR(K179),IF(OR($Q$3&lt;MONTH(K179),$Q$3=MONTH(K179)),H179,0),0)))))</f>
        <v>0</v>
      </c>
      <c r="R179" s="13">
        <f>IF(F179="anual",IF(MONTH(B179)=$R$3,H179,0),IF(F179="mensal",I179,IF(K179="---",0,IF($R$2&lt;YEAR(K179),H179,IF($R$2=YEAR(K179),IF(OR($R$3&lt;MONTH(K179),$R$3=MONTH(K179)),H179,0),0)))))</f>
        <v>0</v>
      </c>
      <c r="S179" s="13">
        <f>IF(F179="anual",IF(MONTH(B179)=$S$3,H179,0),IF(F179="mensal",I179,IF(K179="---",0,IF($S$2&lt;YEAR(K179),H179,IF($S$2=YEAR(K179),IF(OR($S$3&lt;MONTH(K179),$S$3=MONTH(K179)),H179,0),0)))))</f>
        <v>0</v>
      </c>
      <c r="T179" s="13">
        <f>IF(F179="anual",IF(MONTH(B179)=$T$3,H179,0),IF(F179="mensal",I179,IF(K179="---",0,IF($T$2&lt;YEAR(K179),H179,IF($T$2=YEAR(K179),IF(OR($T$3&lt;MONTH(K179),$T$3=MONTH(K179)),H179,0),0)))))</f>
        <v>0</v>
      </c>
      <c r="U179" s="13">
        <f>IF(F179="anual",IF(MONTH(B179)=$U$3,H179,0),IF(F179="mensal",I179,IF(K179="---",0,IF($U$2&lt;YEAR(K179),H179,IF($U$2=YEAR(K179),IF(OR($U$3&lt;MONTH(K179),$U$3=MONTH(K179)),H179,0),0)))))</f>
        <v>0</v>
      </c>
      <c r="V179" s="13">
        <f>IF(F179="anual",IF(MONTH(B179)=$V$3,H179,0),IF(F179="mensal",I179,IF(K179="---",0,IF($V$2&lt;YEAR(K179),H179,IF($V$2=YEAR(K179),IF(OR($V$3&lt;MONTH(K179),$V$3=MONTH(K179)),H179,0),0)))))</f>
        <v>0</v>
      </c>
      <c r="W179" s="14">
        <f>IF(F179="anual",IF(MONTH(B179)=$W$3,H179,0),IF(F179="mensal",I179,IF(K179="---",0,IF($W$2&lt;YEAR(K179),H179,IF($W$2=YEAR(K179),IF(OR($W$3&lt;MONTH(K179),$W$3=MONTH(K179)),H179,0),0)))))</f>
        <v>0</v>
      </c>
      <c r="X179" s="5"/>
      <c r="Y179" s="5"/>
      <c r="Z179" s="5"/>
    </row>
    <row r="180" spans="1:26" s="115" customFormat="1" ht="14.25" customHeight="1" x14ac:dyDescent="0.25">
      <c r="A180" s="81"/>
      <c r="B180" s="270"/>
      <c r="C180" s="271"/>
      <c r="D180" s="272"/>
      <c r="E180" s="272"/>
      <c r="F180" s="273"/>
      <c r="G180" s="272"/>
      <c r="H180" s="274"/>
      <c r="I180" s="8">
        <f ca="1">IF(AND(F180="anual",MONTH(B180)&lt;&gt;$D$2),0,IF(OR(J180=0,J180="TOTALMENTE PAGA"),0,H180))</f>
        <v>0</v>
      </c>
      <c r="J180" s="9" t="str">
        <f>IF(OR(G180=0,B180=0,F180=0),"INSERIR DATAS E TOT PARC",IF(OR(F180="mensal",F180="anual"),IF(F180="anual",IF(OR(AND((MONTH(B180)=MONTH($A$2)),(DAY(B180)&gt;DAY($A$2))),AND((MONTH(B180)-1=MONTH($A$2)),(DAY(B180)&lt;=DAY($A$2)))),1,0),1),IF(B180&gt;G180,"DATAS INVALIDAS",IF(OR($A$2&lt;EDATE(G180,-1),$A$2=EDATE(G180,-1)),0,IF(OR($A$2&lt;G180,$A$2=G180),1,IF(DAY($A$2)&lt;5,IF(((YEAR($A$2)-YEAR(G180))*12+(MONTH($A$2)-MONTH(G180)+1))&gt;F180,"TOTALMENTE PAGA",(YEAR($A$2)-YEAR(G180))*12+(MONTH($A$2)-MONTH(G180)+1)),IF(($A$2&gt;K180),"TOTALMENTE PAGA",(YEAR($A$2)-YEAR(G180))*12+(MONTH($A$2)-MONTH(G180)+2))))))))</f>
        <v>INSERIR DATAS E TOT PARC</v>
      </c>
      <c r="K180" s="10" t="str">
        <f>IF(OR(F180="anual",F180="mensal",B180=0),"---",EDATE(G180,F180-1))</f>
        <v>---</v>
      </c>
      <c r="L180" s="11">
        <f t="shared" si="232"/>
        <v>0</v>
      </c>
      <c r="M180" s="12">
        <f>IF(F180="anual",IF(MONTH(B180)=$M$3,H180,0),IF(F180="mensal",I180,IF(K180="---",0,IF($M$2&lt;YEAR(K180),H180,IF($M$2=YEAR(K180),IF(OR($M$3&lt;MONTH(K180),$M$3=MONTH(K180)),H180,0),0)))))</f>
        <v>0</v>
      </c>
      <c r="N180" s="13">
        <f>IF(F180="anual",IF(MONTH(B180)=$N$3,H180,0),IF(F180="mensal",I180,IF(K180="---",0,IF($N$2&lt;YEAR(K180),H180,IF($N$2=YEAR(K180),IF(OR($N$3&lt;MONTH(K180),$N$3=MONTH(K180)),H180,0),0)))))</f>
        <v>0</v>
      </c>
      <c r="O180" s="13">
        <f>IF(F180="anual",IF(MONTH(B180)=$O$3,H180,0),IF(F180="mensal",I180,IF(K180="---",0,IF($O$2&lt;YEAR(K180),H180,IF($O$2=YEAR(K180),IF(OR($O$3&lt;MONTH(K180),$O$3=MONTH(K180)),H180,0),0)))))</f>
        <v>0</v>
      </c>
      <c r="P180" s="13">
        <f>IF(F180="anual",IF(MONTH(B180)=$P$3,H180,0),IF(F180="mensal",I180,IF(K180="---",0,IF($P$2&lt;YEAR(K180),H180,IF($P$2=YEAR(K180),IF(OR($P$3&lt;MONTH(K180),$P$3=MONTH(K180)),H180,0),0)))))</f>
        <v>0</v>
      </c>
      <c r="Q180" s="13">
        <f>IF(F180="anual",IF(MONTH(B180)=$Q$3,H180,0),IF(F180="mensal",I180,IF(K180="---",0,IF($Q$2&lt;YEAR(K180),H180,IF($Q$2=YEAR(K180),IF(OR($Q$3&lt;MONTH(K180),$Q$3=MONTH(K180)),H180,0),0)))))</f>
        <v>0</v>
      </c>
      <c r="R180" s="13">
        <f>IF(F180="anual",IF(MONTH(B180)=$R$3,H180,0),IF(F180="mensal",I180,IF(K180="---",0,IF($R$2&lt;YEAR(K180),H180,IF($R$2=YEAR(K180),IF(OR($R$3&lt;MONTH(K180),$R$3=MONTH(K180)),H180,0),0)))))</f>
        <v>0</v>
      </c>
      <c r="S180" s="13">
        <f>IF(F180="anual",IF(MONTH(B180)=$S$3,H180,0),IF(F180="mensal",I180,IF(K180="---",0,IF($S$2&lt;YEAR(K180),H180,IF($S$2=YEAR(K180),IF(OR($S$3&lt;MONTH(K180),$S$3=MONTH(K180)),H180,0),0)))))</f>
        <v>0</v>
      </c>
      <c r="T180" s="13">
        <f>IF(F180="anual",IF(MONTH(B180)=$T$3,H180,0),IF(F180="mensal",I180,IF(K180="---",0,IF($T$2&lt;YEAR(K180),H180,IF($T$2=YEAR(K180),IF(OR($T$3&lt;MONTH(K180),$T$3=MONTH(K180)),H180,0),0)))))</f>
        <v>0</v>
      </c>
      <c r="U180" s="13">
        <f>IF(F180="anual",IF(MONTH(B180)=$U$3,H180,0),IF(F180="mensal",I180,IF(K180="---",0,IF($U$2&lt;YEAR(K180),H180,IF($U$2=YEAR(K180),IF(OR($U$3&lt;MONTH(K180),$U$3=MONTH(K180)),H180,0),0)))))</f>
        <v>0</v>
      </c>
      <c r="V180" s="13">
        <f>IF(F180="anual",IF(MONTH(B180)=$V$3,H180,0),IF(F180="mensal",I180,IF(K180="---",0,IF($V$2&lt;YEAR(K180),H180,IF($V$2=YEAR(K180),IF(OR($V$3&lt;MONTH(K180),$V$3=MONTH(K180)),H180,0),0)))))</f>
        <v>0</v>
      </c>
      <c r="W180" s="14">
        <f>IF(F180="anual",IF(MONTH(B180)=$W$3,H180,0),IF(F180="mensal",I180,IF(K180="---",0,IF($W$2&lt;YEAR(K180),H180,IF($W$2=YEAR(K180),IF(OR($W$3&lt;MONTH(K180),$W$3=MONTH(K180)),H180,0),0)))))</f>
        <v>0</v>
      </c>
      <c r="X180" s="5"/>
      <c r="Y180" s="5"/>
      <c r="Z180" s="5"/>
    </row>
    <row r="181" spans="1:26" s="115" customFormat="1" ht="14.25" customHeight="1" x14ac:dyDescent="0.25">
      <c r="A181" s="81"/>
      <c r="B181" s="270"/>
      <c r="C181" s="271"/>
      <c r="D181" s="272"/>
      <c r="E181" s="272"/>
      <c r="F181" s="273"/>
      <c r="G181" s="272"/>
      <c r="H181" s="274"/>
      <c r="I181" s="8">
        <f t="shared" ca="1" si="230"/>
        <v>0</v>
      </c>
      <c r="J181" s="9" t="str">
        <f t="shared" si="227"/>
        <v>INSERIR DATAS E TOT PARC</v>
      </c>
      <c r="K181" s="10" t="str">
        <f t="shared" si="231"/>
        <v>---</v>
      </c>
      <c r="L181" s="11">
        <f t="shared" si="232"/>
        <v>0</v>
      </c>
      <c r="M181" s="12">
        <f t="shared" si="233"/>
        <v>0</v>
      </c>
      <c r="N181" s="13">
        <f t="shared" si="234"/>
        <v>0</v>
      </c>
      <c r="O181" s="13">
        <f t="shared" si="235"/>
        <v>0</v>
      </c>
      <c r="P181" s="13">
        <f t="shared" si="236"/>
        <v>0</v>
      </c>
      <c r="Q181" s="13">
        <f t="shared" si="237"/>
        <v>0</v>
      </c>
      <c r="R181" s="13">
        <f t="shared" si="238"/>
        <v>0</v>
      </c>
      <c r="S181" s="13">
        <f t="shared" si="239"/>
        <v>0</v>
      </c>
      <c r="T181" s="13">
        <f t="shared" si="240"/>
        <v>0</v>
      </c>
      <c r="U181" s="13">
        <f t="shared" si="241"/>
        <v>0</v>
      </c>
      <c r="V181" s="13">
        <f t="shared" si="242"/>
        <v>0</v>
      </c>
      <c r="W181" s="14">
        <f t="shared" si="243"/>
        <v>0</v>
      </c>
      <c r="X181" s="5"/>
      <c r="Y181" s="5"/>
      <c r="Z181" s="5"/>
    </row>
    <row r="182" spans="1:26" s="115" customFormat="1" ht="14.25" customHeight="1" x14ac:dyDescent="0.25">
      <c r="A182" s="81"/>
      <c r="B182" s="270"/>
      <c r="C182" s="271"/>
      <c r="D182" s="272"/>
      <c r="E182" s="272"/>
      <c r="F182" s="273"/>
      <c r="G182" s="272"/>
      <c r="H182" s="274"/>
      <c r="I182" s="8">
        <f t="shared" ca="1" si="230"/>
        <v>0</v>
      </c>
      <c r="J182" s="9" t="str">
        <f t="shared" si="227"/>
        <v>INSERIR DATAS E TOT PARC</v>
      </c>
      <c r="K182" s="10" t="str">
        <f t="shared" si="231"/>
        <v>---</v>
      </c>
      <c r="L182" s="11">
        <f t="shared" si="232"/>
        <v>0</v>
      </c>
      <c r="M182" s="12">
        <f t="shared" si="233"/>
        <v>0</v>
      </c>
      <c r="N182" s="13">
        <f t="shared" si="234"/>
        <v>0</v>
      </c>
      <c r="O182" s="13">
        <f t="shared" si="235"/>
        <v>0</v>
      </c>
      <c r="P182" s="13">
        <f t="shared" si="236"/>
        <v>0</v>
      </c>
      <c r="Q182" s="13">
        <f t="shared" si="237"/>
        <v>0</v>
      </c>
      <c r="R182" s="13">
        <f t="shared" si="238"/>
        <v>0</v>
      </c>
      <c r="S182" s="13">
        <f t="shared" si="239"/>
        <v>0</v>
      </c>
      <c r="T182" s="13">
        <f t="shared" si="240"/>
        <v>0</v>
      </c>
      <c r="U182" s="13">
        <f t="shared" si="241"/>
        <v>0</v>
      </c>
      <c r="V182" s="13">
        <f t="shared" si="242"/>
        <v>0</v>
      </c>
      <c r="W182" s="14">
        <f t="shared" si="243"/>
        <v>0</v>
      </c>
      <c r="X182" s="5"/>
      <c r="Y182" s="5"/>
      <c r="Z182" s="5"/>
    </row>
    <row r="183" spans="1:26" s="115" customFormat="1" ht="14.25" customHeight="1" x14ac:dyDescent="0.25">
      <c r="A183" s="81"/>
      <c r="B183" s="270"/>
      <c r="C183" s="271"/>
      <c r="D183" s="272"/>
      <c r="E183" s="272"/>
      <c r="F183" s="273"/>
      <c r="G183" s="272"/>
      <c r="H183" s="274"/>
      <c r="I183" s="8">
        <f t="shared" ca="1" si="230"/>
        <v>0</v>
      </c>
      <c r="J183" s="9" t="str">
        <f t="shared" si="227"/>
        <v>INSERIR DATAS E TOT PARC</v>
      </c>
      <c r="K183" s="10" t="str">
        <f t="shared" si="231"/>
        <v>---</v>
      </c>
      <c r="L183" s="11">
        <f t="shared" si="232"/>
        <v>0</v>
      </c>
      <c r="M183" s="12">
        <f t="shared" si="233"/>
        <v>0</v>
      </c>
      <c r="N183" s="13">
        <f t="shared" si="234"/>
        <v>0</v>
      </c>
      <c r="O183" s="13">
        <f t="shared" si="235"/>
        <v>0</v>
      </c>
      <c r="P183" s="13">
        <f t="shared" si="236"/>
        <v>0</v>
      </c>
      <c r="Q183" s="13">
        <f t="shared" si="237"/>
        <v>0</v>
      </c>
      <c r="R183" s="13">
        <f t="shared" si="238"/>
        <v>0</v>
      </c>
      <c r="S183" s="13">
        <f t="shared" si="239"/>
        <v>0</v>
      </c>
      <c r="T183" s="13">
        <f t="shared" si="240"/>
        <v>0</v>
      </c>
      <c r="U183" s="13">
        <f t="shared" si="241"/>
        <v>0</v>
      </c>
      <c r="V183" s="13">
        <f t="shared" si="242"/>
        <v>0</v>
      </c>
      <c r="W183" s="14">
        <f t="shared" si="243"/>
        <v>0</v>
      </c>
      <c r="X183" s="5"/>
      <c r="Y183" s="5"/>
      <c r="Z183" s="5"/>
    </row>
    <row r="184" spans="1:26" s="115" customFormat="1" ht="14.25" customHeight="1" x14ac:dyDescent="0.25">
      <c r="A184" s="81"/>
      <c r="B184" s="270"/>
      <c r="C184" s="271"/>
      <c r="D184" s="272"/>
      <c r="E184" s="272"/>
      <c r="F184" s="273"/>
      <c r="G184" s="272"/>
      <c r="H184" s="274"/>
      <c r="I184" s="8">
        <f t="shared" ca="1" si="230"/>
        <v>0</v>
      </c>
      <c r="J184" s="9" t="str">
        <f t="shared" si="227"/>
        <v>INSERIR DATAS E TOT PARC</v>
      </c>
      <c r="K184" s="10" t="str">
        <f t="shared" si="231"/>
        <v>---</v>
      </c>
      <c r="L184" s="11">
        <f t="shared" si="232"/>
        <v>0</v>
      </c>
      <c r="M184" s="12">
        <f t="shared" si="233"/>
        <v>0</v>
      </c>
      <c r="N184" s="13">
        <f t="shared" si="234"/>
        <v>0</v>
      </c>
      <c r="O184" s="13">
        <f t="shared" si="235"/>
        <v>0</v>
      </c>
      <c r="P184" s="13">
        <f t="shared" si="236"/>
        <v>0</v>
      </c>
      <c r="Q184" s="13">
        <f t="shared" si="237"/>
        <v>0</v>
      </c>
      <c r="R184" s="13">
        <f t="shared" si="238"/>
        <v>0</v>
      </c>
      <c r="S184" s="13">
        <f t="shared" si="239"/>
        <v>0</v>
      </c>
      <c r="T184" s="13">
        <f t="shared" si="240"/>
        <v>0</v>
      </c>
      <c r="U184" s="13">
        <f t="shared" si="241"/>
        <v>0</v>
      </c>
      <c r="V184" s="13">
        <f t="shared" si="242"/>
        <v>0</v>
      </c>
      <c r="W184" s="14">
        <f t="shared" si="243"/>
        <v>0</v>
      </c>
      <c r="X184" s="5"/>
      <c r="Y184" s="5"/>
      <c r="Z184" s="5"/>
    </row>
    <row r="185" spans="1:26" s="115" customFormat="1" ht="14.25" customHeight="1" x14ac:dyDescent="0.25">
      <c r="A185" s="81"/>
      <c r="B185" s="270"/>
      <c r="C185" s="271"/>
      <c r="D185" s="272"/>
      <c r="E185" s="272"/>
      <c r="F185" s="273"/>
      <c r="G185" s="272"/>
      <c r="H185" s="274"/>
      <c r="I185" s="8">
        <f t="shared" ca="1" si="230"/>
        <v>0</v>
      </c>
      <c r="J185" s="9" t="str">
        <f t="shared" si="227"/>
        <v>INSERIR DATAS E TOT PARC</v>
      </c>
      <c r="K185" s="10" t="str">
        <f t="shared" si="231"/>
        <v>---</v>
      </c>
      <c r="L185" s="11">
        <f t="shared" si="232"/>
        <v>0</v>
      </c>
      <c r="M185" s="12">
        <f t="shared" si="233"/>
        <v>0</v>
      </c>
      <c r="N185" s="13">
        <f t="shared" si="234"/>
        <v>0</v>
      </c>
      <c r="O185" s="13">
        <f t="shared" si="235"/>
        <v>0</v>
      </c>
      <c r="P185" s="13">
        <f t="shared" si="236"/>
        <v>0</v>
      </c>
      <c r="Q185" s="13">
        <f t="shared" si="237"/>
        <v>0</v>
      </c>
      <c r="R185" s="13">
        <f t="shared" si="238"/>
        <v>0</v>
      </c>
      <c r="S185" s="13">
        <f t="shared" si="239"/>
        <v>0</v>
      </c>
      <c r="T185" s="13">
        <f t="shared" si="240"/>
        <v>0</v>
      </c>
      <c r="U185" s="13">
        <f t="shared" si="241"/>
        <v>0</v>
      </c>
      <c r="V185" s="13">
        <f t="shared" si="242"/>
        <v>0</v>
      </c>
      <c r="W185" s="14">
        <f t="shared" si="243"/>
        <v>0</v>
      </c>
      <c r="X185" s="5"/>
      <c r="Y185" s="5"/>
      <c r="Z185" s="5"/>
    </row>
    <row r="186" spans="1:26" s="115" customFormat="1" ht="14.25" customHeight="1" x14ac:dyDescent="0.25">
      <c r="A186" s="81"/>
      <c r="B186" s="270"/>
      <c r="C186" s="271"/>
      <c r="D186" s="272"/>
      <c r="E186" s="272"/>
      <c r="F186" s="273"/>
      <c r="G186" s="272"/>
      <c r="H186" s="274"/>
      <c r="I186" s="8">
        <f t="shared" ca="1" si="230"/>
        <v>0</v>
      </c>
      <c r="J186" s="9" t="str">
        <f t="shared" si="227"/>
        <v>INSERIR DATAS E TOT PARC</v>
      </c>
      <c r="K186" s="10" t="str">
        <f t="shared" si="231"/>
        <v>---</v>
      </c>
      <c r="L186" s="11">
        <f t="shared" si="232"/>
        <v>0</v>
      </c>
      <c r="M186" s="12">
        <f t="shared" si="233"/>
        <v>0</v>
      </c>
      <c r="N186" s="13">
        <f t="shared" si="234"/>
        <v>0</v>
      </c>
      <c r="O186" s="13">
        <f t="shared" si="235"/>
        <v>0</v>
      </c>
      <c r="P186" s="13">
        <f t="shared" si="236"/>
        <v>0</v>
      </c>
      <c r="Q186" s="13">
        <f t="shared" si="237"/>
        <v>0</v>
      </c>
      <c r="R186" s="13">
        <f t="shared" si="238"/>
        <v>0</v>
      </c>
      <c r="S186" s="13">
        <f t="shared" si="239"/>
        <v>0</v>
      </c>
      <c r="T186" s="13">
        <f t="shared" si="240"/>
        <v>0</v>
      </c>
      <c r="U186" s="13">
        <f t="shared" si="241"/>
        <v>0</v>
      </c>
      <c r="V186" s="13">
        <f t="shared" si="242"/>
        <v>0</v>
      </c>
      <c r="W186" s="14">
        <f t="shared" si="243"/>
        <v>0</v>
      </c>
      <c r="X186" s="5"/>
      <c r="Y186" s="5"/>
      <c r="Z186" s="5"/>
    </row>
    <row r="187" spans="1:26" s="115" customFormat="1" ht="14.25" customHeight="1" x14ac:dyDescent="0.25">
      <c r="A187" s="81"/>
      <c r="B187" s="270"/>
      <c r="C187" s="271"/>
      <c r="D187" s="272"/>
      <c r="E187" s="272"/>
      <c r="F187" s="273"/>
      <c r="G187" s="272"/>
      <c r="H187" s="274"/>
      <c r="I187" s="8">
        <f t="shared" ca="1" si="230"/>
        <v>0</v>
      </c>
      <c r="J187" s="9" t="str">
        <f t="shared" si="227"/>
        <v>INSERIR DATAS E TOT PARC</v>
      </c>
      <c r="K187" s="10" t="str">
        <f t="shared" si="231"/>
        <v>---</v>
      </c>
      <c r="L187" s="11">
        <f t="shared" si="232"/>
        <v>0</v>
      </c>
      <c r="M187" s="12">
        <f t="shared" si="233"/>
        <v>0</v>
      </c>
      <c r="N187" s="13">
        <f t="shared" si="234"/>
        <v>0</v>
      </c>
      <c r="O187" s="13">
        <f t="shared" si="235"/>
        <v>0</v>
      </c>
      <c r="P187" s="13">
        <f t="shared" si="236"/>
        <v>0</v>
      </c>
      <c r="Q187" s="13">
        <f t="shared" si="237"/>
        <v>0</v>
      </c>
      <c r="R187" s="13">
        <f t="shared" si="238"/>
        <v>0</v>
      </c>
      <c r="S187" s="13">
        <f t="shared" si="239"/>
        <v>0</v>
      </c>
      <c r="T187" s="13">
        <f t="shared" si="240"/>
        <v>0</v>
      </c>
      <c r="U187" s="13">
        <f t="shared" si="241"/>
        <v>0</v>
      </c>
      <c r="V187" s="13">
        <f t="shared" si="242"/>
        <v>0</v>
      </c>
      <c r="W187" s="14">
        <f t="shared" si="243"/>
        <v>0</v>
      </c>
      <c r="X187" s="5"/>
      <c r="Y187" s="5"/>
      <c r="Z187" s="5"/>
    </row>
    <row r="188" spans="1:26" s="103" customFormat="1" ht="14.25" customHeight="1" x14ac:dyDescent="0.25">
      <c r="A188" s="81"/>
      <c r="B188" s="270"/>
      <c r="C188" s="271"/>
      <c r="D188" s="272"/>
      <c r="E188" s="272"/>
      <c r="F188" s="273"/>
      <c r="G188" s="272"/>
      <c r="H188" s="274"/>
      <c r="I188" s="8">
        <f t="shared" ca="1" si="230"/>
        <v>0</v>
      </c>
      <c r="J188" s="9" t="str">
        <f t="shared" si="227"/>
        <v>INSERIR DATAS E TOT PARC</v>
      </c>
      <c r="K188" s="10" t="str">
        <f t="shared" si="231"/>
        <v>---</v>
      </c>
      <c r="L188" s="11">
        <f t="shared" si="232"/>
        <v>0</v>
      </c>
      <c r="M188" s="12">
        <f t="shared" si="233"/>
        <v>0</v>
      </c>
      <c r="N188" s="13">
        <f t="shared" si="234"/>
        <v>0</v>
      </c>
      <c r="O188" s="13">
        <f t="shared" si="235"/>
        <v>0</v>
      </c>
      <c r="P188" s="13">
        <f t="shared" si="236"/>
        <v>0</v>
      </c>
      <c r="Q188" s="13">
        <f t="shared" si="237"/>
        <v>0</v>
      </c>
      <c r="R188" s="13">
        <f t="shared" si="238"/>
        <v>0</v>
      </c>
      <c r="S188" s="13">
        <f t="shared" si="239"/>
        <v>0</v>
      </c>
      <c r="T188" s="13">
        <f t="shared" si="240"/>
        <v>0</v>
      </c>
      <c r="U188" s="13">
        <f t="shared" si="241"/>
        <v>0</v>
      </c>
      <c r="V188" s="13">
        <f t="shared" si="242"/>
        <v>0</v>
      </c>
      <c r="W188" s="14">
        <f t="shared" si="243"/>
        <v>0</v>
      </c>
      <c r="X188" s="5"/>
      <c r="Y188" s="5"/>
      <c r="Z188" s="5"/>
    </row>
    <row r="189" spans="1:26" s="103" customFormat="1" ht="14.25" customHeight="1" x14ac:dyDescent="0.25">
      <c r="A189" s="81"/>
      <c r="B189" s="270"/>
      <c r="C189" s="271"/>
      <c r="D189" s="272"/>
      <c r="E189" s="272"/>
      <c r="F189" s="273"/>
      <c r="G189" s="272"/>
      <c r="H189" s="274"/>
      <c r="I189" s="8">
        <f t="shared" ca="1" si="230"/>
        <v>0</v>
      </c>
      <c r="J189" s="9" t="str">
        <f t="shared" si="227"/>
        <v>INSERIR DATAS E TOT PARC</v>
      </c>
      <c r="K189" s="10" t="str">
        <f t="shared" si="231"/>
        <v>---</v>
      </c>
      <c r="L189" s="11">
        <f t="shared" si="232"/>
        <v>0</v>
      </c>
      <c r="M189" s="12">
        <f t="shared" si="233"/>
        <v>0</v>
      </c>
      <c r="N189" s="13">
        <f t="shared" si="234"/>
        <v>0</v>
      </c>
      <c r="O189" s="13">
        <f t="shared" si="235"/>
        <v>0</v>
      </c>
      <c r="P189" s="13">
        <f t="shared" si="236"/>
        <v>0</v>
      </c>
      <c r="Q189" s="13">
        <f t="shared" si="237"/>
        <v>0</v>
      </c>
      <c r="R189" s="13">
        <f t="shared" si="238"/>
        <v>0</v>
      </c>
      <c r="S189" s="13">
        <f t="shared" si="239"/>
        <v>0</v>
      </c>
      <c r="T189" s="13">
        <f t="shared" si="240"/>
        <v>0</v>
      </c>
      <c r="U189" s="13">
        <f t="shared" si="241"/>
        <v>0</v>
      </c>
      <c r="V189" s="13">
        <f t="shared" si="242"/>
        <v>0</v>
      </c>
      <c r="W189" s="14">
        <f t="shared" si="243"/>
        <v>0</v>
      </c>
      <c r="X189" s="5"/>
      <c r="Y189" s="5"/>
      <c r="Z189" s="5"/>
    </row>
    <row r="190" spans="1:26" s="103" customFormat="1" ht="14.25" customHeight="1" x14ac:dyDescent="0.25">
      <c r="A190" s="81"/>
      <c r="B190" s="270"/>
      <c r="C190" s="271"/>
      <c r="D190" s="272"/>
      <c r="E190" s="272"/>
      <c r="F190" s="273"/>
      <c r="G190" s="272"/>
      <c r="H190" s="274"/>
      <c r="I190" s="8">
        <f t="shared" ca="1" si="230"/>
        <v>0</v>
      </c>
      <c r="J190" s="9" t="str">
        <f t="shared" si="227"/>
        <v>INSERIR DATAS E TOT PARC</v>
      </c>
      <c r="K190" s="10" t="str">
        <f t="shared" si="231"/>
        <v>---</v>
      </c>
      <c r="L190" s="11">
        <f t="shared" si="232"/>
        <v>0</v>
      </c>
      <c r="M190" s="12">
        <f t="shared" si="233"/>
        <v>0</v>
      </c>
      <c r="N190" s="13">
        <f t="shared" si="234"/>
        <v>0</v>
      </c>
      <c r="O190" s="13">
        <f t="shared" si="235"/>
        <v>0</v>
      </c>
      <c r="P190" s="13">
        <f t="shared" si="236"/>
        <v>0</v>
      </c>
      <c r="Q190" s="13">
        <f t="shared" si="237"/>
        <v>0</v>
      </c>
      <c r="R190" s="13">
        <f t="shared" si="238"/>
        <v>0</v>
      </c>
      <c r="S190" s="13">
        <f t="shared" si="239"/>
        <v>0</v>
      </c>
      <c r="T190" s="13">
        <f t="shared" si="240"/>
        <v>0</v>
      </c>
      <c r="U190" s="13">
        <f t="shared" si="241"/>
        <v>0</v>
      </c>
      <c r="V190" s="13">
        <f t="shared" si="242"/>
        <v>0</v>
      </c>
      <c r="W190" s="14">
        <f t="shared" si="243"/>
        <v>0</v>
      </c>
      <c r="X190" s="5"/>
      <c r="Y190" s="5"/>
      <c r="Z190" s="5"/>
    </row>
    <row r="191" spans="1:26" s="103" customFormat="1" ht="14.25" customHeight="1" x14ac:dyDescent="0.25">
      <c r="A191" s="81"/>
      <c r="B191" s="270"/>
      <c r="C191" s="271"/>
      <c r="D191" s="272"/>
      <c r="E191" s="272"/>
      <c r="F191" s="273"/>
      <c r="G191" s="272"/>
      <c r="H191" s="274"/>
      <c r="I191" s="8">
        <f t="shared" ca="1" si="230"/>
        <v>0</v>
      </c>
      <c r="J191" s="9" t="str">
        <f t="shared" si="227"/>
        <v>INSERIR DATAS E TOT PARC</v>
      </c>
      <c r="K191" s="10" t="str">
        <f t="shared" si="231"/>
        <v>---</v>
      </c>
      <c r="L191" s="11">
        <f t="shared" si="232"/>
        <v>0</v>
      </c>
      <c r="M191" s="12">
        <f t="shared" si="233"/>
        <v>0</v>
      </c>
      <c r="N191" s="13">
        <f t="shared" si="234"/>
        <v>0</v>
      </c>
      <c r="O191" s="13">
        <f t="shared" si="235"/>
        <v>0</v>
      </c>
      <c r="P191" s="13">
        <f t="shared" si="236"/>
        <v>0</v>
      </c>
      <c r="Q191" s="13">
        <f t="shared" si="237"/>
        <v>0</v>
      </c>
      <c r="R191" s="13">
        <f t="shared" si="238"/>
        <v>0</v>
      </c>
      <c r="S191" s="13">
        <f t="shared" si="239"/>
        <v>0</v>
      </c>
      <c r="T191" s="13">
        <f t="shared" si="240"/>
        <v>0</v>
      </c>
      <c r="U191" s="13">
        <f t="shared" si="241"/>
        <v>0</v>
      </c>
      <c r="V191" s="13">
        <f t="shared" si="242"/>
        <v>0</v>
      </c>
      <c r="W191" s="14">
        <f t="shared" si="243"/>
        <v>0</v>
      </c>
      <c r="X191" s="5"/>
      <c r="Y191" s="5"/>
      <c r="Z191" s="5"/>
    </row>
    <row r="192" spans="1:26" ht="14.25" customHeight="1" x14ac:dyDescent="0.25">
      <c r="A192" s="81"/>
      <c r="B192" s="270"/>
      <c r="C192" s="271"/>
      <c r="D192" s="272"/>
      <c r="E192" s="272"/>
      <c r="F192" s="273"/>
      <c r="G192" s="272"/>
      <c r="H192" s="274"/>
      <c r="I192" s="8">
        <f t="shared" ca="1" si="230"/>
        <v>0</v>
      </c>
      <c r="J192" s="9" t="str">
        <f t="shared" si="227"/>
        <v>INSERIR DATAS E TOT PARC</v>
      </c>
      <c r="K192" s="10" t="str">
        <f t="shared" si="231"/>
        <v>---</v>
      </c>
      <c r="L192" s="11">
        <f t="shared" si="232"/>
        <v>0</v>
      </c>
      <c r="M192" s="12">
        <f t="shared" si="233"/>
        <v>0</v>
      </c>
      <c r="N192" s="13">
        <f t="shared" si="234"/>
        <v>0</v>
      </c>
      <c r="O192" s="13">
        <f t="shared" si="235"/>
        <v>0</v>
      </c>
      <c r="P192" s="13">
        <f t="shared" si="236"/>
        <v>0</v>
      </c>
      <c r="Q192" s="13">
        <f t="shared" si="237"/>
        <v>0</v>
      </c>
      <c r="R192" s="13">
        <f t="shared" si="238"/>
        <v>0</v>
      </c>
      <c r="S192" s="13">
        <f t="shared" si="239"/>
        <v>0</v>
      </c>
      <c r="T192" s="13">
        <f t="shared" si="240"/>
        <v>0</v>
      </c>
      <c r="U192" s="13">
        <f t="shared" si="241"/>
        <v>0</v>
      </c>
      <c r="V192" s="13">
        <f t="shared" si="242"/>
        <v>0</v>
      </c>
      <c r="W192" s="14">
        <f t="shared" si="243"/>
        <v>0</v>
      </c>
      <c r="X192" s="5"/>
      <c r="Y192" s="5"/>
      <c r="Z192" s="5"/>
    </row>
    <row r="193" spans="1:26" s="148" customFormat="1" ht="14.25" customHeight="1" x14ac:dyDescent="0.25">
      <c r="A193" s="81"/>
      <c r="B193" s="270"/>
      <c r="C193" s="271"/>
      <c r="D193" s="272"/>
      <c r="E193" s="272"/>
      <c r="F193" s="273"/>
      <c r="G193" s="272"/>
      <c r="H193" s="274"/>
      <c r="I193" s="8">
        <f t="shared" ref="I193:I198" ca="1" si="244">IF(AND(F193="anual",MONTH(B193)&lt;&gt;$D$2),0,IF(OR(J193=0,J193="TOTALMENTE PAGA"),0,H193))</f>
        <v>0</v>
      </c>
      <c r="J193" s="9" t="str">
        <f t="shared" ref="J193:J198" si="245">IF(OR(G193=0,B193=0,F193=0),"INSERIR DATAS E TOT PARC",IF(OR(F193="mensal",F193="anual"),IF(F193="anual",IF(OR(AND((MONTH(B193)=MONTH($A$2)),(DAY(B193)&gt;DAY($A$2))),AND((MONTH(B193)-1=MONTH($A$2)),(DAY(B193)&lt;=DAY($A$2)))),1,0),1),IF(B193&gt;G193,"DATAS INVALIDAS",IF(OR($A$2&lt;EDATE(G193,-1),$A$2=EDATE(G193,-1)),0,IF(OR($A$2&lt;G193,$A$2=G193),1,IF(DAY($A$2)&lt;5,IF(((YEAR($A$2)-YEAR(G193))*12+(MONTH($A$2)-MONTH(G193)+1))&gt;F193,"TOTALMENTE PAGA",(YEAR($A$2)-YEAR(G193))*12+(MONTH($A$2)-MONTH(G193)+1)),IF(($A$2&gt;K193),"TOTALMENTE PAGA",(YEAR($A$2)-YEAR(G193))*12+(MONTH($A$2)-MONTH(G193)+2))))))))</f>
        <v>INSERIR DATAS E TOT PARC</v>
      </c>
      <c r="K193" s="10" t="str">
        <f t="shared" ref="K193:K198" si="246">IF(OR(F193="anual",F193="mensal",B193=0),"---",EDATE(G193,F193-1))</f>
        <v>---</v>
      </c>
      <c r="L193" s="11">
        <f t="shared" ref="L193:L198" si="247">IF(OR(F193="mensal",F193="anual"),IF(J193=1,H193,0),IF(H193=0,0,IF(J193="TOTALMENTE PAGA",0,(F193-J193)*H193)))</f>
        <v>0</v>
      </c>
      <c r="M193" s="12">
        <f t="shared" ref="M193:M198" si="248">IF(F193="anual",IF(MONTH(B193)=$M$3,H193,0),IF(F193="mensal",I193,IF(K193="---",0,IF($M$2&lt;YEAR(K193),H193,IF($M$2=YEAR(K193),IF(OR($M$3&lt;MONTH(K193),$M$3=MONTH(K193)),H193,0),0)))))</f>
        <v>0</v>
      </c>
      <c r="N193" s="13">
        <f t="shared" ref="N193:N198" si="249">IF(F193="anual",IF(MONTH(B193)=$N$3,H193,0),IF(F193="mensal",I193,IF(K193="---",0,IF($N$2&lt;YEAR(K193),H193,IF($N$2=YEAR(K193),IF(OR($N$3&lt;MONTH(K193),$N$3=MONTH(K193)),H193,0),0)))))</f>
        <v>0</v>
      </c>
      <c r="O193" s="13">
        <f t="shared" ref="O193:O198" si="250">IF(F193="anual",IF(MONTH(B193)=$O$3,H193,0),IF(F193="mensal",I193,IF(K193="---",0,IF($O$2&lt;YEAR(K193),H193,IF($O$2=YEAR(K193),IF(OR($O$3&lt;MONTH(K193),$O$3=MONTH(K193)),H193,0),0)))))</f>
        <v>0</v>
      </c>
      <c r="P193" s="13">
        <f t="shared" ref="P193:P198" si="251">IF(F193="anual",IF(MONTH(B193)=$P$3,H193,0),IF(F193="mensal",I193,IF(K193="---",0,IF($P$2&lt;YEAR(K193),H193,IF($P$2=YEAR(K193),IF(OR($P$3&lt;MONTH(K193),$P$3=MONTH(K193)),H193,0),0)))))</f>
        <v>0</v>
      </c>
      <c r="Q193" s="13">
        <f t="shared" ref="Q193:Q198" si="252">IF(F193="anual",IF(MONTH(B193)=$Q$3,H193,0),IF(F193="mensal",I193,IF(K193="---",0,IF($Q$2&lt;YEAR(K193),H193,IF($Q$2=YEAR(K193),IF(OR($Q$3&lt;MONTH(K193),$Q$3=MONTH(K193)),H193,0),0)))))</f>
        <v>0</v>
      </c>
      <c r="R193" s="13">
        <f t="shared" ref="R193:R198" si="253">IF(F193="anual",IF(MONTH(B193)=$R$3,H193,0),IF(F193="mensal",I193,IF(K193="---",0,IF($R$2&lt;YEAR(K193),H193,IF($R$2=YEAR(K193),IF(OR($R$3&lt;MONTH(K193),$R$3=MONTH(K193)),H193,0),0)))))</f>
        <v>0</v>
      </c>
      <c r="S193" s="13">
        <f t="shared" ref="S193:S198" si="254">IF(F193="anual",IF(MONTH(B193)=$S$3,H193,0),IF(F193="mensal",I193,IF(K193="---",0,IF($S$2&lt;YEAR(K193),H193,IF($S$2=YEAR(K193),IF(OR($S$3&lt;MONTH(K193),$S$3=MONTH(K193)),H193,0),0)))))</f>
        <v>0</v>
      </c>
      <c r="T193" s="13">
        <f t="shared" ref="T193:T198" si="255">IF(F193="anual",IF(MONTH(B193)=$T$3,H193,0),IF(F193="mensal",I193,IF(K193="---",0,IF($T$2&lt;YEAR(K193),H193,IF($T$2=YEAR(K193),IF(OR($T$3&lt;MONTH(K193),$T$3=MONTH(K193)),H193,0),0)))))</f>
        <v>0</v>
      </c>
      <c r="U193" s="13">
        <f t="shared" ref="U193:U198" si="256">IF(F193="anual",IF(MONTH(B193)=$U$3,H193,0),IF(F193="mensal",I193,IF(K193="---",0,IF($U$2&lt;YEAR(K193),H193,IF($U$2=YEAR(K193),IF(OR($U$3&lt;MONTH(K193),$U$3=MONTH(K193)),H193,0),0)))))</f>
        <v>0</v>
      </c>
      <c r="V193" s="13">
        <f t="shared" ref="V193:V198" si="257">IF(F193="anual",IF(MONTH(B193)=$V$3,H193,0),IF(F193="mensal",I193,IF(K193="---",0,IF($V$2&lt;YEAR(K193),H193,IF($V$2=YEAR(K193),IF(OR($V$3&lt;MONTH(K193),$V$3=MONTH(K193)),H193,0),0)))))</f>
        <v>0</v>
      </c>
      <c r="W193" s="14">
        <f t="shared" ref="W193:W198" si="258">IF(F193="anual",IF(MONTH(B193)=$W$3,H193,0),IF(F193="mensal",I193,IF(K193="---",0,IF($W$2&lt;YEAR(K193),H193,IF($W$2=YEAR(K193),IF(OR($W$3&lt;MONTH(K193),$W$3=MONTH(K193)),H193,0),0)))))</f>
        <v>0</v>
      </c>
      <c r="X193" s="5"/>
      <c r="Y193" s="5"/>
      <c r="Z193" s="5"/>
    </row>
    <row r="194" spans="1:26" s="148" customFormat="1" ht="14.25" customHeight="1" x14ac:dyDescent="0.25">
      <c r="A194" s="81"/>
      <c r="B194" s="270"/>
      <c r="C194" s="271"/>
      <c r="D194" s="272"/>
      <c r="E194" s="272"/>
      <c r="F194" s="273"/>
      <c r="G194" s="272"/>
      <c r="H194" s="274"/>
      <c r="I194" s="8">
        <f t="shared" ca="1" si="244"/>
        <v>0</v>
      </c>
      <c r="J194" s="9" t="str">
        <f t="shared" si="245"/>
        <v>INSERIR DATAS E TOT PARC</v>
      </c>
      <c r="K194" s="10" t="str">
        <f t="shared" si="246"/>
        <v>---</v>
      </c>
      <c r="L194" s="11">
        <f t="shared" si="247"/>
        <v>0</v>
      </c>
      <c r="M194" s="12">
        <f t="shared" si="248"/>
        <v>0</v>
      </c>
      <c r="N194" s="13">
        <f t="shared" si="249"/>
        <v>0</v>
      </c>
      <c r="O194" s="13">
        <f t="shared" si="250"/>
        <v>0</v>
      </c>
      <c r="P194" s="13">
        <f t="shared" si="251"/>
        <v>0</v>
      </c>
      <c r="Q194" s="13">
        <f t="shared" si="252"/>
        <v>0</v>
      </c>
      <c r="R194" s="13">
        <f t="shared" si="253"/>
        <v>0</v>
      </c>
      <c r="S194" s="13">
        <f t="shared" si="254"/>
        <v>0</v>
      </c>
      <c r="T194" s="13">
        <f t="shared" si="255"/>
        <v>0</v>
      </c>
      <c r="U194" s="13">
        <f t="shared" si="256"/>
        <v>0</v>
      </c>
      <c r="V194" s="13">
        <f t="shared" si="257"/>
        <v>0</v>
      </c>
      <c r="W194" s="14">
        <f t="shared" si="258"/>
        <v>0</v>
      </c>
      <c r="X194" s="5"/>
      <c r="Y194" s="5"/>
      <c r="Z194" s="5"/>
    </row>
    <row r="195" spans="1:26" s="148" customFormat="1" ht="14.25" customHeight="1" x14ac:dyDescent="0.25">
      <c r="A195" s="81"/>
      <c r="B195" s="270"/>
      <c r="C195" s="271"/>
      <c r="D195" s="272"/>
      <c r="E195" s="272"/>
      <c r="F195" s="273"/>
      <c r="G195" s="272"/>
      <c r="H195" s="274"/>
      <c r="I195" s="8">
        <f t="shared" ca="1" si="244"/>
        <v>0</v>
      </c>
      <c r="J195" s="9" t="str">
        <f t="shared" si="245"/>
        <v>INSERIR DATAS E TOT PARC</v>
      </c>
      <c r="K195" s="10" t="str">
        <f t="shared" si="246"/>
        <v>---</v>
      </c>
      <c r="L195" s="11">
        <f t="shared" si="247"/>
        <v>0</v>
      </c>
      <c r="M195" s="12">
        <f t="shared" si="248"/>
        <v>0</v>
      </c>
      <c r="N195" s="13">
        <f t="shared" si="249"/>
        <v>0</v>
      </c>
      <c r="O195" s="13">
        <f t="shared" si="250"/>
        <v>0</v>
      </c>
      <c r="P195" s="13">
        <f t="shared" si="251"/>
        <v>0</v>
      </c>
      <c r="Q195" s="13">
        <f t="shared" si="252"/>
        <v>0</v>
      </c>
      <c r="R195" s="13">
        <f t="shared" si="253"/>
        <v>0</v>
      </c>
      <c r="S195" s="13">
        <f t="shared" si="254"/>
        <v>0</v>
      </c>
      <c r="T195" s="13">
        <f t="shared" si="255"/>
        <v>0</v>
      </c>
      <c r="U195" s="13">
        <f t="shared" si="256"/>
        <v>0</v>
      </c>
      <c r="V195" s="13">
        <f t="shared" si="257"/>
        <v>0</v>
      </c>
      <c r="W195" s="14">
        <f t="shared" si="258"/>
        <v>0</v>
      </c>
      <c r="X195" s="5"/>
      <c r="Y195" s="5"/>
      <c r="Z195" s="5"/>
    </row>
    <row r="196" spans="1:26" s="148" customFormat="1" ht="14.25" customHeight="1" x14ac:dyDescent="0.25">
      <c r="A196" s="81"/>
      <c r="B196" s="270"/>
      <c r="C196" s="271"/>
      <c r="D196" s="272"/>
      <c r="E196" s="272"/>
      <c r="F196" s="273"/>
      <c r="G196" s="272"/>
      <c r="H196" s="274"/>
      <c r="I196" s="8">
        <f t="shared" ca="1" si="244"/>
        <v>0</v>
      </c>
      <c r="J196" s="9" t="str">
        <f t="shared" si="245"/>
        <v>INSERIR DATAS E TOT PARC</v>
      </c>
      <c r="K196" s="10" t="str">
        <f t="shared" si="246"/>
        <v>---</v>
      </c>
      <c r="L196" s="11">
        <f t="shared" si="247"/>
        <v>0</v>
      </c>
      <c r="M196" s="12">
        <f t="shared" si="248"/>
        <v>0</v>
      </c>
      <c r="N196" s="13">
        <f t="shared" si="249"/>
        <v>0</v>
      </c>
      <c r="O196" s="13">
        <f t="shared" si="250"/>
        <v>0</v>
      </c>
      <c r="P196" s="13">
        <f t="shared" si="251"/>
        <v>0</v>
      </c>
      <c r="Q196" s="13">
        <f t="shared" si="252"/>
        <v>0</v>
      </c>
      <c r="R196" s="13">
        <f t="shared" si="253"/>
        <v>0</v>
      </c>
      <c r="S196" s="13">
        <f t="shared" si="254"/>
        <v>0</v>
      </c>
      <c r="T196" s="13">
        <f t="shared" si="255"/>
        <v>0</v>
      </c>
      <c r="U196" s="13">
        <f t="shared" si="256"/>
        <v>0</v>
      </c>
      <c r="V196" s="13">
        <f t="shared" si="257"/>
        <v>0</v>
      </c>
      <c r="W196" s="14">
        <f t="shared" si="258"/>
        <v>0</v>
      </c>
      <c r="X196" s="5"/>
      <c r="Y196" s="5"/>
      <c r="Z196" s="5"/>
    </row>
    <row r="197" spans="1:26" s="148" customFormat="1" ht="14.25" customHeight="1" x14ac:dyDescent="0.25">
      <c r="A197" s="81"/>
      <c r="B197" s="270"/>
      <c r="C197" s="271"/>
      <c r="D197" s="272"/>
      <c r="E197" s="272"/>
      <c r="F197" s="273"/>
      <c r="G197" s="272"/>
      <c r="H197" s="274"/>
      <c r="I197" s="8">
        <f t="shared" ca="1" si="244"/>
        <v>0</v>
      </c>
      <c r="J197" s="9" t="str">
        <f t="shared" si="245"/>
        <v>INSERIR DATAS E TOT PARC</v>
      </c>
      <c r="K197" s="10" t="str">
        <f t="shared" si="246"/>
        <v>---</v>
      </c>
      <c r="L197" s="11">
        <f t="shared" si="247"/>
        <v>0</v>
      </c>
      <c r="M197" s="12">
        <f t="shared" si="248"/>
        <v>0</v>
      </c>
      <c r="N197" s="13">
        <f t="shared" si="249"/>
        <v>0</v>
      </c>
      <c r="O197" s="13">
        <f t="shared" si="250"/>
        <v>0</v>
      </c>
      <c r="P197" s="13">
        <f t="shared" si="251"/>
        <v>0</v>
      </c>
      <c r="Q197" s="13">
        <f t="shared" si="252"/>
        <v>0</v>
      </c>
      <c r="R197" s="13">
        <f t="shared" si="253"/>
        <v>0</v>
      </c>
      <c r="S197" s="13">
        <f t="shared" si="254"/>
        <v>0</v>
      </c>
      <c r="T197" s="13">
        <f t="shared" si="255"/>
        <v>0</v>
      </c>
      <c r="U197" s="13">
        <f t="shared" si="256"/>
        <v>0</v>
      </c>
      <c r="V197" s="13">
        <f t="shared" si="257"/>
        <v>0</v>
      </c>
      <c r="W197" s="14">
        <f t="shared" si="258"/>
        <v>0</v>
      </c>
      <c r="X197" s="5"/>
      <c r="Y197" s="5"/>
      <c r="Z197" s="5"/>
    </row>
    <row r="198" spans="1:26" s="148" customFormat="1" ht="14.25" customHeight="1" x14ac:dyDescent="0.25">
      <c r="A198" s="81"/>
      <c r="B198" s="270"/>
      <c r="C198" s="271"/>
      <c r="D198" s="272"/>
      <c r="E198" s="272"/>
      <c r="F198" s="273"/>
      <c r="G198" s="272"/>
      <c r="H198" s="274"/>
      <c r="I198" s="8">
        <f t="shared" ca="1" si="244"/>
        <v>0</v>
      </c>
      <c r="J198" s="9" t="str">
        <f t="shared" si="245"/>
        <v>INSERIR DATAS E TOT PARC</v>
      </c>
      <c r="K198" s="10" t="str">
        <f t="shared" si="246"/>
        <v>---</v>
      </c>
      <c r="L198" s="11">
        <f t="shared" si="247"/>
        <v>0</v>
      </c>
      <c r="M198" s="12">
        <f t="shared" si="248"/>
        <v>0</v>
      </c>
      <c r="N198" s="13">
        <f t="shared" si="249"/>
        <v>0</v>
      </c>
      <c r="O198" s="13">
        <f t="shared" si="250"/>
        <v>0</v>
      </c>
      <c r="P198" s="13">
        <f t="shared" si="251"/>
        <v>0</v>
      </c>
      <c r="Q198" s="13">
        <f t="shared" si="252"/>
        <v>0</v>
      </c>
      <c r="R198" s="13">
        <f t="shared" si="253"/>
        <v>0</v>
      </c>
      <c r="S198" s="13">
        <f t="shared" si="254"/>
        <v>0</v>
      </c>
      <c r="T198" s="13">
        <f t="shared" si="255"/>
        <v>0</v>
      </c>
      <c r="U198" s="13">
        <f t="shared" si="256"/>
        <v>0</v>
      </c>
      <c r="V198" s="13">
        <f t="shared" si="257"/>
        <v>0</v>
      </c>
      <c r="W198" s="14">
        <f t="shared" si="258"/>
        <v>0</v>
      </c>
      <c r="X198" s="5"/>
      <c r="Y198" s="5"/>
      <c r="Z198" s="5"/>
    </row>
    <row r="199" spans="1:26" ht="14.25" customHeight="1" thickBot="1" x14ac:dyDescent="0.3">
      <c r="A199" s="76"/>
      <c r="B199" s="270"/>
      <c r="C199" s="271"/>
      <c r="D199" s="272"/>
      <c r="E199" s="272"/>
      <c r="F199" s="273"/>
      <c r="G199" s="272"/>
      <c r="H199" s="274"/>
      <c r="I199" s="8">
        <f t="shared" ca="1" si="230"/>
        <v>0</v>
      </c>
      <c r="J199" s="9" t="str">
        <f t="shared" si="227"/>
        <v>INSERIR DATAS E TOT PARC</v>
      </c>
      <c r="K199" s="10" t="str">
        <f t="shared" si="231"/>
        <v>---</v>
      </c>
      <c r="L199" s="11">
        <f t="shared" si="232"/>
        <v>0</v>
      </c>
      <c r="M199" s="12">
        <f t="shared" si="233"/>
        <v>0</v>
      </c>
      <c r="N199" s="13">
        <f t="shared" si="234"/>
        <v>0</v>
      </c>
      <c r="O199" s="13">
        <f t="shared" si="235"/>
        <v>0</v>
      </c>
      <c r="P199" s="13">
        <f t="shared" si="236"/>
        <v>0</v>
      </c>
      <c r="Q199" s="13">
        <f t="shared" si="237"/>
        <v>0</v>
      </c>
      <c r="R199" s="13">
        <f t="shared" si="238"/>
        <v>0</v>
      </c>
      <c r="S199" s="13">
        <f t="shared" si="239"/>
        <v>0</v>
      </c>
      <c r="T199" s="13">
        <f t="shared" si="240"/>
        <v>0</v>
      </c>
      <c r="U199" s="13">
        <f t="shared" si="241"/>
        <v>0</v>
      </c>
      <c r="V199" s="13">
        <f t="shared" si="242"/>
        <v>0</v>
      </c>
      <c r="W199" s="14">
        <f t="shared" si="243"/>
        <v>0</v>
      </c>
      <c r="X199" s="154"/>
    </row>
    <row r="200" spans="1:26" ht="14.25" customHeight="1" thickBot="1" x14ac:dyDescent="0.3">
      <c r="B200" s="346" t="s">
        <v>19</v>
      </c>
      <c r="C200" s="343"/>
      <c r="D200" s="347"/>
      <c r="E200" s="17">
        <f>MAX(K154:K199)</f>
        <v>0</v>
      </c>
      <c r="F200" s="330" t="s">
        <v>177</v>
      </c>
      <c r="G200" s="331"/>
      <c r="H200" s="332"/>
      <c r="I200" s="28">
        <f ca="1">IF(OR((J200&lt;$A$2),(J200=$A$2)),IF(($D$2-MONTH(J200))=0,0,IF(AND($D$2-MONTH(J200)=1,DAY(J200)&lt;32,DAY(J200)&gt;4),0,SUM(I154:I199))),"DT PAG &gt; DT HJ")</f>
        <v>0</v>
      </c>
      <c r="J200" s="225">
        <v>44621</v>
      </c>
      <c r="K200" s="19" t="s">
        <v>20</v>
      </c>
      <c r="L200" s="20">
        <f ca="1">SUM(L154:L199)+I200</f>
        <v>0</v>
      </c>
      <c r="M200" s="25">
        <f t="shared" ref="M200:W200" si="259">SUM(M154:M199)</f>
        <v>0</v>
      </c>
      <c r="N200" s="26">
        <f t="shared" si="259"/>
        <v>0</v>
      </c>
      <c r="O200" s="26">
        <f t="shared" si="259"/>
        <v>0</v>
      </c>
      <c r="P200" s="26">
        <f t="shared" si="259"/>
        <v>0</v>
      </c>
      <c r="Q200" s="26">
        <f t="shared" si="259"/>
        <v>0</v>
      </c>
      <c r="R200" s="26">
        <f t="shared" si="259"/>
        <v>0</v>
      </c>
      <c r="S200" s="26">
        <f t="shared" si="259"/>
        <v>0</v>
      </c>
      <c r="T200" s="26">
        <f t="shared" si="259"/>
        <v>0</v>
      </c>
      <c r="U200" s="26">
        <f t="shared" si="259"/>
        <v>0</v>
      </c>
      <c r="V200" s="26">
        <f t="shared" si="259"/>
        <v>0</v>
      </c>
      <c r="W200" s="27">
        <f t="shared" si="259"/>
        <v>0</v>
      </c>
      <c r="X200" s="21">
        <f>SUM(M200:W200)</f>
        <v>0</v>
      </c>
      <c r="Y200" s="76"/>
    </row>
    <row r="201" spans="1:26" ht="14.25" customHeight="1" thickBot="1" x14ac:dyDescent="0.3">
      <c r="B201" s="22"/>
      <c r="C201" s="23"/>
      <c r="D201" s="23"/>
      <c r="E201" s="23"/>
      <c r="F201" s="105"/>
      <c r="G201" s="106"/>
      <c r="H201" s="107"/>
      <c r="I201" s="309"/>
      <c r="J201" s="310" t="s">
        <v>21</v>
      </c>
      <c r="K201" s="107"/>
      <c r="L201" s="311"/>
      <c r="M201" s="155">
        <f ca="1">IFERROR(M200/M$264,0)</f>
        <v>0</v>
      </c>
      <c r="N201" s="156">
        <f t="shared" ref="N201:W201" ca="1" si="260">IFERROR(N200/N$264,0)</f>
        <v>0</v>
      </c>
      <c r="O201" s="156">
        <f t="shared" ca="1" si="260"/>
        <v>0</v>
      </c>
      <c r="P201" s="156">
        <f t="shared" ca="1" si="260"/>
        <v>0</v>
      </c>
      <c r="Q201" s="156">
        <f t="shared" ca="1" si="260"/>
        <v>0</v>
      </c>
      <c r="R201" s="156">
        <f t="shared" ca="1" si="260"/>
        <v>0</v>
      </c>
      <c r="S201" s="156">
        <f t="shared" ca="1" si="260"/>
        <v>0</v>
      </c>
      <c r="T201" s="156">
        <f t="shared" ca="1" si="260"/>
        <v>0</v>
      </c>
      <c r="U201" s="156">
        <f t="shared" ca="1" si="260"/>
        <v>0</v>
      </c>
      <c r="V201" s="156">
        <f t="shared" ca="1" si="260"/>
        <v>0</v>
      </c>
      <c r="W201" s="157">
        <f t="shared" ca="1" si="260"/>
        <v>0</v>
      </c>
      <c r="X201" s="154"/>
    </row>
    <row r="202" spans="1:26" ht="14.25" customHeight="1" thickBot="1" x14ac:dyDescent="0.3">
      <c r="A202" s="75"/>
      <c r="B202" s="396" t="s">
        <v>170</v>
      </c>
      <c r="C202" s="397"/>
      <c r="D202" s="397"/>
      <c r="E202" s="397"/>
      <c r="F202" s="397"/>
      <c r="G202" s="397"/>
      <c r="H202" s="397"/>
      <c r="I202" s="398"/>
      <c r="J202" s="399"/>
      <c r="K202" s="399"/>
      <c r="L202" s="400"/>
      <c r="M202" s="355" t="str">
        <f>B202</f>
        <v>CARTÃO-06 | FINAL:XXXX</v>
      </c>
      <c r="N202" s="355"/>
      <c r="O202" s="355"/>
      <c r="P202" s="355"/>
      <c r="Q202" s="355"/>
      <c r="R202" s="355"/>
      <c r="S202" s="355"/>
      <c r="T202" s="355"/>
      <c r="U202" s="355"/>
      <c r="V202" s="355"/>
      <c r="W202" s="356"/>
      <c r="X202" s="154"/>
    </row>
    <row r="203" spans="1:26" ht="14.25" customHeight="1" x14ac:dyDescent="0.25">
      <c r="A203" s="75"/>
      <c r="B203" s="265"/>
      <c r="C203" s="266"/>
      <c r="D203" s="267"/>
      <c r="E203" s="267"/>
      <c r="F203" s="268"/>
      <c r="G203" s="267"/>
      <c r="H203" s="269"/>
      <c r="I203" s="312">
        <f t="shared" ref="I203" ca="1" si="261">IF(AND(F203="anual",MONTH(B203)&lt;&gt;$D$2),0,IF(OR(J203=0,J203="TOTALMENTE PAGA"),0,H203))</f>
        <v>0</v>
      </c>
      <c r="J203" s="313" t="str">
        <f t="shared" ref="J203:J225" si="262">IF(OR(G203=0,B203=0,F203=0),"INSERIR DATAS E TOT PARC",IF(OR(F203="mensal",F203="anual"),IF(F203="anual",IF(OR(AND((MONTH(B203)=MONTH($A$2)),(DAY(B203)&gt;DAY($A$2))),AND((MONTH(B203)-1=MONTH($A$2)),(DAY(B203)&lt;=DAY($A$2)))),1,0),1),IF(B203&gt;G203,"DATAS INVALIDAS",IF(OR($A$2&lt;EDATE(G203,-1),$A$2=EDATE(G203,-1)),0,IF(OR($A$2&lt;G203,$A$2=G203),1,IF(DAY($A$2)&lt;5,IF(((YEAR($A$2)-YEAR(G203))*12+(MONTH($A$2)-MONTH(G203)+1))&gt;F203,"TOTALMENTE PAGA",(YEAR($A$2)-YEAR(G203))*12+(MONTH($A$2)-MONTH(G203)+1)),IF(($A$2&gt;K203),"TOTALMENTE PAGA",(YEAR($A$2)-YEAR(G203))*12+(MONTH($A$2)-MONTH(G203)+2))))))))</f>
        <v>INSERIR DATAS E TOT PARC</v>
      </c>
      <c r="K203" s="10" t="str">
        <f t="shared" ref="K203" si="263">IF(OR(F203="anual",F203="mensal",B203=0),"---",EDATE(G203,F203-1))</f>
        <v>---</v>
      </c>
      <c r="L203" s="314">
        <f t="shared" ref="L203" si="264">IF(OR(F203="mensal",F203="anual"),IF(J203=1,H203,0),IF(H203=0,0,IF(J203="TOTALMENTE PAGA",0,(F203-J203)*H203)))</f>
        <v>0</v>
      </c>
      <c r="M203" s="12">
        <f>IF(F203="anual",IF(MONTH(B203)=$M$3,H203,0),IF(F203="mensal",I203,IF(K203="---",0,IF($M$2&lt;YEAR(K203),H203,IF($M$2=YEAR(K203),IF(OR($M$3&lt;MONTH(K203),$M$3=MONTH(K203)),H203,0),0)))))</f>
        <v>0</v>
      </c>
      <c r="N203" s="13">
        <f>IF(F203="anual",IF(MONTH(B203)=$N$3,H203,0),IF(F203="mensal",I203,IF(K203="---",0,IF($N$2&lt;YEAR(K203),H203,IF($N$2=YEAR(K203),IF(OR($N$3&lt;MONTH(K203),$N$3=MONTH(K203)),H203,0),0)))))</f>
        <v>0</v>
      </c>
      <c r="O203" s="13">
        <f>IF(F203="anual",IF(MONTH(B203)=$O$3,H203,0),IF(F203="mensal",I203,IF(K203="---",0,IF($O$2&lt;YEAR(K203),H203,IF($O$2=YEAR(K203),IF(OR($O$3&lt;MONTH(K203),$O$3=MONTH(K203)),H203,0),0)))))</f>
        <v>0</v>
      </c>
      <c r="P203" s="13">
        <f>IF(F203="anual",IF(MONTH(B203)=$P$3,H203,0),IF(F203="mensal",I203,IF(K203="---",0,IF($P$2&lt;YEAR(K203),H203,IF($P$2=YEAR(K203),IF(OR($P$3&lt;MONTH(K203),$P$3=MONTH(K203)),H203,0),0)))))</f>
        <v>0</v>
      </c>
      <c r="Q203" s="13">
        <f>IF(F203="anual",IF(MONTH(B203)=$Q$3,H203,0),IF(F203="mensal",I203,IF(K203="---",0,IF($Q$2&lt;YEAR(K203),H203,IF($Q$2=YEAR(K203),IF(OR($Q$3&lt;MONTH(K203),$Q$3=MONTH(K203)),H203,0),0)))))</f>
        <v>0</v>
      </c>
      <c r="R203" s="13">
        <f>IF(F203="anual",IF(MONTH(B203)=$R$3,H203,0),IF(F203="mensal",I203,IF(K203="---",0,IF($R$2&lt;YEAR(K203),H203,IF($R$2=YEAR(K203),IF(OR($R$3&lt;MONTH(K203),$R$3=MONTH(K203)),H203,0),0)))))</f>
        <v>0</v>
      </c>
      <c r="S203" s="13">
        <f>IF(F203="anual",IF(MONTH(B203)=$S$3,H203,0),IF(F203="mensal",I203,IF(K203="---",0,IF($S$2&lt;YEAR(K203),H203,IF($S$2=YEAR(K203),IF(OR($S$3&lt;MONTH(K203),$S$3=MONTH(K203)),H203,0),0)))))</f>
        <v>0</v>
      </c>
      <c r="T203" s="13">
        <f>IF(F203="anual",IF(MONTH(B203)=$T$3,H203,0),IF(F203="mensal",I203,IF(K203="---",0,IF($T$2&lt;YEAR(K203),H203,IF($T$2=YEAR(K203),IF(OR($T$3&lt;MONTH(K203),$T$3=MONTH(K203)),H203,0),0)))))</f>
        <v>0</v>
      </c>
      <c r="U203" s="13">
        <f>IF(F203="anual",IF(MONTH(B203)=$U$3,H203,0),IF(F203="mensal",I203,IF(K203="---",0,IF($U$2&lt;YEAR(K203),H203,IF($U$2=YEAR(K203),IF(OR($U$3&lt;MONTH(K203),$U$3=MONTH(K203)),H203,0),0)))))</f>
        <v>0</v>
      </c>
      <c r="V203" s="13">
        <f>IF(F203="anual",IF(MONTH(B203)=$V$3,H203,0),IF(F203="mensal",I203,IF(K203="---",0,IF($V$2&lt;YEAR(K203),H203,IF($V$2=YEAR(K203),IF(OR($V$3&lt;MONTH(K203),$V$3=MONTH(K203)),H203,0),0)))))</f>
        <v>0</v>
      </c>
      <c r="W203" s="14">
        <f>IF(F203="anual",IF(MONTH(B203)=$W$3,H203,0),IF(F203="mensal",I203,IF(K203="---",0,IF($W$2&lt;YEAR(K203),H203,IF($W$2=YEAR(K203),IF(OR($W$3&lt;MONTH(K203),$W$3=MONTH(K203)),H203,0),0)))))</f>
        <v>0</v>
      </c>
      <c r="X203" s="154"/>
    </row>
    <row r="204" spans="1:26" ht="14.25" customHeight="1" x14ac:dyDescent="0.25">
      <c r="A204" s="75"/>
      <c r="B204" s="265"/>
      <c r="C204" s="266"/>
      <c r="D204" s="267"/>
      <c r="E204" s="267"/>
      <c r="F204" s="268"/>
      <c r="G204" s="267"/>
      <c r="H204" s="269"/>
      <c r="I204" s="8">
        <f t="shared" ref="I204:I225" ca="1" si="265">IF(AND(F204="anual",MONTH(B204)&lt;&gt;$D$2),0,IF(OR(J204=0,J204="TOTALMENTE PAGA"),0,H204))</f>
        <v>0</v>
      </c>
      <c r="J204" s="9" t="str">
        <f t="shared" si="262"/>
        <v>INSERIR DATAS E TOT PARC</v>
      </c>
      <c r="K204" s="10" t="str">
        <f t="shared" ref="K204:K225" si="266">IF(OR(F204="anual",F204="mensal",B204=0),"---",EDATE(G204,F204-1))</f>
        <v>---</v>
      </c>
      <c r="L204" s="11">
        <f t="shared" ref="L204:L225" si="267">IF(OR(F204="mensal",F204="anual"),IF(J204=1,H204,0),IF(H204=0,0,IF(J204="TOTALMENTE PAGA",0,(F204-J204)*H204)))</f>
        <v>0</v>
      </c>
      <c r="M204" s="12">
        <f t="shared" ref="M204:M225" si="268">IF(F204="anual",IF(MONTH(B204)=$M$3,H204,0),IF(F204="mensal",I204,IF(K204="---",0,IF($M$2&lt;YEAR(K204),H204,IF($M$2=YEAR(K204),IF(OR($M$3&lt;MONTH(K204),$M$3=MONTH(K204)),H204,0),0)))))</f>
        <v>0</v>
      </c>
      <c r="N204" s="13">
        <f t="shared" ref="N204:N225" si="269">IF(F204="anual",IF(MONTH(B204)=$N$3,H204,0),IF(F204="mensal",I204,IF(K204="---",0,IF($N$2&lt;YEAR(K204),H204,IF($N$2=YEAR(K204),IF(OR($N$3&lt;MONTH(K204),$N$3=MONTH(K204)),H204,0),0)))))</f>
        <v>0</v>
      </c>
      <c r="O204" s="13">
        <f t="shared" ref="O204:O225" si="270">IF(F204="anual",IF(MONTH(B204)=$O$3,H204,0),IF(F204="mensal",I204,IF(K204="---",0,IF($O$2&lt;YEAR(K204),H204,IF($O$2=YEAR(K204),IF(OR($O$3&lt;MONTH(K204),$O$3=MONTH(K204)),H204,0),0)))))</f>
        <v>0</v>
      </c>
      <c r="P204" s="13">
        <f t="shared" ref="P204:P225" si="271">IF(F204="anual",IF(MONTH(B204)=$P$3,H204,0),IF(F204="mensal",I204,IF(K204="---",0,IF($P$2&lt;YEAR(K204),H204,IF($P$2=YEAR(K204),IF(OR($P$3&lt;MONTH(K204),$P$3=MONTH(K204)),H204,0),0)))))</f>
        <v>0</v>
      </c>
      <c r="Q204" s="13">
        <f t="shared" ref="Q204:Q225" si="272">IF(F204="anual",IF(MONTH(B204)=$Q$3,H204,0),IF(F204="mensal",I204,IF(K204="---",0,IF($Q$2&lt;YEAR(K204),H204,IF($Q$2=YEAR(K204),IF(OR($Q$3&lt;MONTH(K204),$Q$3=MONTH(K204)),H204,0),0)))))</f>
        <v>0</v>
      </c>
      <c r="R204" s="13">
        <f t="shared" ref="R204:R225" si="273">IF(F204="anual",IF(MONTH(B204)=$R$3,H204,0),IF(F204="mensal",I204,IF(K204="---",0,IF($R$2&lt;YEAR(K204),H204,IF($R$2=YEAR(K204),IF(OR($R$3&lt;MONTH(K204),$R$3=MONTH(K204)),H204,0),0)))))</f>
        <v>0</v>
      </c>
      <c r="S204" s="13">
        <f t="shared" ref="S204:S225" si="274">IF(F204="anual",IF(MONTH(B204)=$S$3,H204,0),IF(F204="mensal",I204,IF(K204="---",0,IF($S$2&lt;YEAR(K204),H204,IF($S$2=YEAR(K204),IF(OR($S$3&lt;MONTH(K204),$S$3=MONTH(K204)),H204,0),0)))))</f>
        <v>0</v>
      </c>
      <c r="T204" s="13">
        <f t="shared" ref="T204:T225" si="275">IF(F204="anual",IF(MONTH(B204)=$T$3,H204,0),IF(F204="mensal",I204,IF(K204="---",0,IF($T$2&lt;YEAR(K204),H204,IF($T$2=YEAR(K204),IF(OR($T$3&lt;MONTH(K204),$T$3=MONTH(K204)),H204,0),0)))))</f>
        <v>0</v>
      </c>
      <c r="U204" s="13">
        <f t="shared" ref="U204:U225" si="276">IF(F204="anual",IF(MONTH(B204)=$U$3,H204,0),IF(F204="mensal",I204,IF(K204="---",0,IF($U$2&lt;YEAR(K204),H204,IF($U$2=YEAR(K204),IF(OR($U$3&lt;MONTH(K204),$U$3=MONTH(K204)),H204,0),0)))))</f>
        <v>0</v>
      </c>
      <c r="V204" s="13">
        <f t="shared" ref="V204:V225" si="277">IF(F204="anual",IF(MONTH(B204)=$V$3,H204,0),IF(F204="mensal",I204,IF(K204="---",0,IF($V$2&lt;YEAR(K204),H204,IF($V$2=YEAR(K204),IF(OR($V$3&lt;MONTH(K204),$V$3=MONTH(K204)),H204,0),0)))))</f>
        <v>0</v>
      </c>
      <c r="W204" s="14">
        <f t="shared" ref="W204:W225" si="278">IF(F204="anual",IF(MONTH(B204)=$W$3,H204,0),IF(F204="mensal",I204,IF(K204="---",0,IF($W$2&lt;YEAR(K204),H204,IF($W$2=YEAR(K204),IF(OR($W$3&lt;MONTH(K204),$W$3=MONTH(K204)),H204,0),0)))))</f>
        <v>0</v>
      </c>
      <c r="X204" s="154"/>
    </row>
    <row r="205" spans="1:26" ht="14.25" customHeight="1" x14ac:dyDescent="0.25">
      <c r="A205" s="72"/>
      <c r="B205" s="265"/>
      <c r="C205" s="266"/>
      <c r="D205" s="267"/>
      <c r="E205" s="267"/>
      <c r="F205" s="268"/>
      <c r="G205" s="267"/>
      <c r="H205" s="269"/>
      <c r="I205" s="8">
        <f t="shared" ca="1" si="265"/>
        <v>0</v>
      </c>
      <c r="J205" s="9" t="str">
        <f t="shared" si="262"/>
        <v>INSERIR DATAS E TOT PARC</v>
      </c>
      <c r="K205" s="10" t="str">
        <f t="shared" si="266"/>
        <v>---</v>
      </c>
      <c r="L205" s="11">
        <f t="shared" si="267"/>
        <v>0</v>
      </c>
      <c r="M205" s="12">
        <f t="shared" si="268"/>
        <v>0</v>
      </c>
      <c r="N205" s="13">
        <f t="shared" si="269"/>
        <v>0</v>
      </c>
      <c r="O205" s="13">
        <f t="shared" si="270"/>
        <v>0</v>
      </c>
      <c r="P205" s="13">
        <f t="shared" si="271"/>
        <v>0</v>
      </c>
      <c r="Q205" s="13">
        <f t="shared" si="272"/>
        <v>0</v>
      </c>
      <c r="R205" s="13">
        <f t="shared" si="273"/>
        <v>0</v>
      </c>
      <c r="S205" s="13">
        <f t="shared" si="274"/>
        <v>0</v>
      </c>
      <c r="T205" s="13">
        <f t="shared" si="275"/>
        <v>0</v>
      </c>
      <c r="U205" s="13">
        <f t="shared" si="276"/>
        <v>0</v>
      </c>
      <c r="V205" s="13">
        <f t="shared" si="277"/>
        <v>0</v>
      </c>
      <c r="W205" s="14">
        <f t="shared" si="278"/>
        <v>0</v>
      </c>
      <c r="X205" s="154"/>
    </row>
    <row r="206" spans="1:26" ht="14.25" customHeight="1" x14ac:dyDescent="0.25">
      <c r="A206" s="72"/>
      <c r="B206" s="265"/>
      <c r="C206" s="266"/>
      <c r="D206" s="267"/>
      <c r="E206" s="267"/>
      <c r="F206" s="268"/>
      <c r="G206" s="267"/>
      <c r="H206" s="269"/>
      <c r="I206" s="8">
        <f t="shared" ca="1" si="265"/>
        <v>0</v>
      </c>
      <c r="J206" s="9" t="str">
        <f t="shared" si="262"/>
        <v>INSERIR DATAS E TOT PARC</v>
      </c>
      <c r="K206" s="10" t="str">
        <f t="shared" si="266"/>
        <v>---</v>
      </c>
      <c r="L206" s="11">
        <f t="shared" si="267"/>
        <v>0</v>
      </c>
      <c r="M206" s="12">
        <f t="shared" si="268"/>
        <v>0</v>
      </c>
      <c r="N206" s="13">
        <f t="shared" si="269"/>
        <v>0</v>
      </c>
      <c r="O206" s="13">
        <f t="shared" si="270"/>
        <v>0</v>
      </c>
      <c r="P206" s="13">
        <f t="shared" si="271"/>
        <v>0</v>
      </c>
      <c r="Q206" s="13">
        <f t="shared" si="272"/>
        <v>0</v>
      </c>
      <c r="R206" s="13">
        <f t="shared" si="273"/>
        <v>0</v>
      </c>
      <c r="S206" s="13">
        <f t="shared" si="274"/>
        <v>0</v>
      </c>
      <c r="T206" s="13">
        <f t="shared" si="275"/>
        <v>0</v>
      </c>
      <c r="U206" s="13">
        <f t="shared" si="276"/>
        <v>0</v>
      </c>
      <c r="V206" s="13">
        <f t="shared" si="277"/>
        <v>0</v>
      </c>
      <c r="W206" s="14">
        <f t="shared" si="278"/>
        <v>0</v>
      </c>
      <c r="X206" s="154"/>
    </row>
    <row r="207" spans="1:26" ht="14.25" customHeight="1" x14ac:dyDescent="0.25">
      <c r="A207" s="72"/>
      <c r="B207" s="265"/>
      <c r="C207" s="266"/>
      <c r="D207" s="267"/>
      <c r="E207" s="267"/>
      <c r="F207" s="268"/>
      <c r="G207" s="267"/>
      <c r="H207" s="269"/>
      <c r="I207" s="8">
        <f t="shared" ca="1" si="265"/>
        <v>0</v>
      </c>
      <c r="J207" s="9" t="str">
        <f t="shared" si="262"/>
        <v>INSERIR DATAS E TOT PARC</v>
      </c>
      <c r="K207" s="10" t="str">
        <f t="shared" si="266"/>
        <v>---</v>
      </c>
      <c r="L207" s="11">
        <f t="shared" si="267"/>
        <v>0</v>
      </c>
      <c r="M207" s="12">
        <f t="shared" si="268"/>
        <v>0</v>
      </c>
      <c r="N207" s="13">
        <f t="shared" si="269"/>
        <v>0</v>
      </c>
      <c r="O207" s="13">
        <f t="shared" si="270"/>
        <v>0</v>
      </c>
      <c r="P207" s="13">
        <f t="shared" si="271"/>
        <v>0</v>
      </c>
      <c r="Q207" s="13">
        <f t="shared" si="272"/>
        <v>0</v>
      </c>
      <c r="R207" s="13">
        <f t="shared" si="273"/>
        <v>0</v>
      </c>
      <c r="S207" s="13">
        <f t="shared" si="274"/>
        <v>0</v>
      </c>
      <c r="T207" s="13">
        <f t="shared" si="275"/>
        <v>0</v>
      </c>
      <c r="U207" s="13">
        <f t="shared" si="276"/>
        <v>0</v>
      </c>
      <c r="V207" s="13">
        <f t="shared" si="277"/>
        <v>0</v>
      </c>
      <c r="W207" s="14">
        <f t="shared" si="278"/>
        <v>0</v>
      </c>
      <c r="X207" s="154"/>
    </row>
    <row r="208" spans="1:26" ht="14.25" customHeight="1" x14ac:dyDescent="0.25">
      <c r="B208" s="265"/>
      <c r="C208" s="266"/>
      <c r="D208" s="267"/>
      <c r="E208" s="267"/>
      <c r="F208" s="268"/>
      <c r="G208" s="267"/>
      <c r="H208" s="269"/>
      <c r="I208" s="8">
        <f t="shared" ca="1" si="265"/>
        <v>0</v>
      </c>
      <c r="J208" s="9" t="str">
        <f t="shared" si="262"/>
        <v>INSERIR DATAS E TOT PARC</v>
      </c>
      <c r="K208" s="10" t="str">
        <f t="shared" si="266"/>
        <v>---</v>
      </c>
      <c r="L208" s="11">
        <f t="shared" si="267"/>
        <v>0</v>
      </c>
      <c r="M208" s="12">
        <f t="shared" si="268"/>
        <v>0</v>
      </c>
      <c r="N208" s="13">
        <f t="shared" si="269"/>
        <v>0</v>
      </c>
      <c r="O208" s="13">
        <f t="shared" si="270"/>
        <v>0</v>
      </c>
      <c r="P208" s="13">
        <f t="shared" si="271"/>
        <v>0</v>
      </c>
      <c r="Q208" s="13">
        <f t="shared" si="272"/>
        <v>0</v>
      </c>
      <c r="R208" s="13">
        <f t="shared" si="273"/>
        <v>0</v>
      </c>
      <c r="S208" s="13">
        <f t="shared" si="274"/>
        <v>0</v>
      </c>
      <c r="T208" s="13">
        <f t="shared" si="275"/>
        <v>0</v>
      </c>
      <c r="U208" s="13">
        <f t="shared" si="276"/>
        <v>0</v>
      </c>
      <c r="V208" s="13">
        <f t="shared" si="277"/>
        <v>0</v>
      </c>
      <c r="W208" s="14">
        <f t="shared" si="278"/>
        <v>0</v>
      </c>
      <c r="X208" s="154"/>
    </row>
    <row r="209" spans="2:24" ht="14.25" customHeight="1" x14ac:dyDescent="0.25">
      <c r="B209" s="265"/>
      <c r="C209" s="266"/>
      <c r="D209" s="267"/>
      <c r="E209" s="267"/>
      <c r="F209" s="268"/>
      <c r="G209" s="267"/>
      <c r="H209" s="269"/>
      <c r="I209" s="8">
        <f t="shared" ca="1" si="265"/>
        <v>0</v>
      </c>
      <c r="J209" s="9" t="str">
        <f t="shared" si="262"/>
        <v>INSERIR DATAS E TOT PARC</v>
      </c>
      <c r="K209" s="10" t="str">
        <f t="shared" si="266"/>
        <v>---</v>
      </c>
      <c r="L209" s="11">
        <f t="shared" si="267"/>
        <v>0</v>
      </c>
      <c r="M209" s="12">
        <f t="shared" si="268"/>
        <v>0</v>
      </c>
      <c r="N209" s="13">
        <f t="shared" si="269"/>
        <v>0</v>
      </c>
      <c r="O209" s="13">
        <f t="shared" si="270"/>
        <v>0</v>
      </c>
      <c r="P209" s="13">
        <f t="shared" si="271"/>
        <v>0</v>
      </c>
      <c r="Q209" s="13">
        <f t="shared" si="272"/>
        <v>0</v>
      </c>
      <c r="R209" s="13">
        <f t="shared" si="273"/>
        <v>0</v>
      </c>
      <c r="S209" s="13">
        <f t="shared" si="274"/>
        <v>0</v>
      </c>
      <c r="T209" s="13">
        <f t="shared" si="275"/>
        <v>0</v>
      </c>
      <c r="U209" s="13">
        <f t="shared" si="276"/>
        <v>0</v>
      </c>
      <c r="V209" s="13">
        <f t="shared" si="277"/>
        <v>0</v>
      </c>
      <c r="W209" s="14">
        <f t="shared" si="278"/>
        <v>0</v>
      </c>
      <c r="X209" s="154"/>
    </row>
    <row r="210" spans="2:24" ht="14.25" customHeight="1" x14ac:dyDescent="0.25">
      <c r="B210" s="265"/>
      <c r="C210" s="266"/>
      <c r="D210" s="267"/>
      <c r="E210" s="267"/>
      <c r="F210" s="268"/>
      <c r="G210" s="267"/>
      <c r="H210" s="269"/>
      <c r="I210" s="8">
        <f t="shared" ca="1" si="265"/>
        <v>0</v>
      </c>
      <c r="J210" s="9" t="str">
        <f t="shared" si="262"/>
        <v>INSERIR DATAS E TOT PARC</v>
      </c>
      <c r="K210" s="10" t="str">
        <f t="shared" si="266"/>
        <v>---</v>
      </c>
      <c r="L210" s="11">
        <f t="shared" si="267"/>
        <v>0</v>
      </c>
      <c r="M210" s="12">
        <f t="shared" si="268"/>
        <v>0</v>
      </c>
      <c r="N210" s="13">
        <f t="shared" si="269"/>
        <v>0</v>
      </c>
      <c r="O210" s="13">
        <f t="shared" si="270"/>
        <v>0</v>
      </c>
      <c r="P210" s="13">
        <f t="shared" si="271"/>
        <v>0</v>
      </c>
      <c r="Q210" s="13">
        <f t="shared" si="272"/>
        <v>0</v>
      </c>
      <c r="R210" s="13">
        <f t="shared" si="273"/>
        <v>0</v>
      </c>
      <c r="S210" s="13">
        <f t="shared" si="274"/>
        <v>0</v>
      </c>
      <c r="T210" s="13">
        <f t="shared" si="275"/>
        <v>0</v>
      </c>
      <c r="U210" s="13">
        <f t="shared" si="276"/>
        <v>0</v>
      </c>
      <c r="V210" s="13">
        <f t="shared" si="277"/>
        <v>0</v>
      </c>
      <c r="W210" s="14">
        <f t="shared" si="278"/>
        <v>0</v>
      </c>
      <c r="X210" s="154"/>
    </row>
    <row r="211" spans="2:24" ht="14.25" customHeight="1" x14ac:dyDescent="0.25">
      <c r="B211" s="265"/>
      <c r="C211" s="266"/>
      <c r="D211" s="267"/>
      <c r="E211" s="267"/>
      <c r="F211" s="268"/>
      <c r="G211" s="267"/>
      <c r="H211" s="269"/>
      <c r="I211" s="8">
        <f t="shared" ca="1" si="265"/>
        <v>0</v>
      </c>
      <c r="J211" s="9" t="str">
        <f t="shared" si="262"/>
        <v>INSERIR DATAS E TOT PARC</v>
      </c>
      <c r="K211" s="10" t="str">
        <f t="shared" si="266"/>
        <v>---</v>
      </c>
      <c r="L211" s="11">
        <f t="shared" si="267"/>
        <v>0</v>
      </c>
      <c r="M211" s="12">
        <f t="shared" si="268"/>
        <v>0</v>
      </c>
      <c r="N211" s="13">
        <f t="shared" si="269"/>
        <v>0</v>
      </c>
      <c r="O211" s="13">
        <f t="shared" si="270"/>
        <v>0</v>
      </c>
      <c r="P211" s="13">
        <f t="shared" si="271"/>
        <v>0</v>
      </c>
      <c r="Q211" s="13">
        <f t="shared" si="272"/>
        <v>0</v>
      </c>
      <c r="R211" s="13">
        <f t="shared" si="273"/>
        <v>0</v>
      </c>
      <c r="S211" s="13">
        <f t="shared" si="274"/>
        <v>0</v>
      </c>
      <c r="T211" s="13">
        <f t="shared" si="275"/>
        <v>0</v>
      </c>
      <c r="U211" s="13">
        <f t="shared" si="276"/>
        <v>0</v>
      </c>
      <c r="V211" s="13">
        <f t="shared" si="277"/>
        <v>0</v>
      </c>
      <c r="W211" s="14">
        <f t="shared" si="278"/>
        <v>0</v>
      </c>
      <c r="X211" s="154"/>
    </row>
    <row r="212" spans="2:24" ht="14.25" customHeight="1" x14ac:dyDescent="0.25">
      <c r="B212" s="265"/>
      <c r="C212" s="266"/>
      <c r="D212" s="267"/>
      <c r="E212" s="267"/>
      <c r="F212" s="268"/>
      <c r="G212" s="267"/>
      <c r="H212" s="269"/>
      <c r="I212" s="8">
        <f t="shared" ca="1" si="265"/>
        <v>0</v>
      </c>
      <c r="J212" s="9" t="str">
        <f t="shared" si="262"/>
        <v>INSERIR DATAS E TOT PARC</v>
      </c>
      <c r="K212" s="10" t="str">
        <f t="shared" si="266"/>
        <v>---</v>
      </c>
      <c r="L212" s="11">
        <f t="shared" si="267"/>
        <v>0</v>
      </c>
      <c r="M212" s="12">
        <f t="shared" si="268"/>
        <v>0</v>
      </c>
      <c r="N212" s="13">
        <f t="shared" si="269"/>
        <v>0</v>
      </c>
      <c r="O212" s="13">
        <f t="shared" si="270"/>
        <v>0</v>
      </c>
      <c r="P212" s="13">
        <f t="shared" si="271"/>
        <v>0</v>
      </c>
      <c r="Q212" s="13">
        <f t="shared" si="272"/>
        <v>0</v>
      </c>
      <c r="R212" s="13">
        <f t="shared" si="273"/>
        <v>0</v>
      </c>
      <c r="S212" s="13">
        <f t="shared" si="274"/>
        <v>0</v>
      </c>
      <c r="T212" s="13">
        <f t="shared" si="275"/>
        <v>0</v>
      </c>
      <c r="U212" s="13">
        <f t="shared" si="276"/>
        <v>0</v>
      </c>
      <c r="V212" s="13">
        <f t="shared" si="277"/>
        <v>0</v>
      </c>
      <c r="W212" s="14">
        <f t="shared" si="278"/>
        <v>0</v>
      </c>
      <c r="X212" s="154"/>
    </row>
    <row r="213" spans="2:24" ht="14.25" customHeight="1" x14ac:dyDescent="0.25">
      <c r="B213" s="265"/>
      <c r="C213" s="266"/>
      <c r="D213" s="267"/>
      <c r="E213" s="267"/>
      <c r="F213" s="268"/>
      <c r="G213" s="267"/>
      <c r="H213" s="269"/>
      <c r="I213" s="8">
        <f t="shared" ca="1" si="265"/>
        <v>0</v>
      </c>
      <c r="J213" s="9" t="str">
        <f t="shared" si="262"/>
        <v>INSERIR DATAS E TOT PARC</v>
      </c>
      <c r="K213" s="10" t="str">
        <f t="shared" si="266"/>
        <v>---</v>
      </c>
      <c r="L213" s="11">
        <f t="shared" si="267"/>
        <v>0</v>
      </c>
      <c r="M213" s="12">
        <f t="shared" si="268"/>
        <v>0</v>
      </c>
      <c r="N213" s="13">
        <f t="shared" si="269"/>
        <v>0</v>
      </c>
      <c r="O213" s="13">
        <f t="shared" si="270"/>
        <v>0</v>
      </c>
      <c r="P213" s="13">
        <f t="shared" si="271"/>
        <v>0</v>
      </c>
      <c r="Q213" s="13">
        <f t="shared" si="272"/>
        <v>0</v>
      </c>
      <c r="R213" s="13">
        <f t="shared" si="273"/>
        <v>0</v>
      </c>
      <c r="S213" s="13">
        <f t="shared" si="274"/>
        <v>0</v>
      </c>
      <c r="T213" s="13">
        <f t="shared" si="275"/>
        <v>0</v>
      </c>
      <c r="U213" s="13">
        <f t="shared" si="276"/>
        <v>0</v>
      </c>
      <c r="V213" s="13">
        <f t="shared" si="277"/>
        <v>0</v>
      </c>
      <c r="W213" s="14">
        <f t="shared" si="278"/>
        <v>0</v>
      </c>
      <c r="X213" s="154"/>
    </row>
    <row r="214" spans="2:24" ht="14.25" customHeight="1" x14ac:dyDescent="0.25">
      <c r="B214" s="265"/>
      <c r="C214" s="266"/>
      <c r="D214" s="267"/>
      <c r="E214" s="267"/>
      <c r="F214" s="268"/>
      <c r="G214" s="267"/>
      <c r="H214" s="269"/>
      <c r="I214" s="8">
        <f t="shared" ca="1" si="265"/>
        <v>0</v>
      </c>
      <c r="J214" s="9" t="str">
        <f t="shared" si="262"/>
        <v>INSERIR DATAS E TOT PARC</v>
      </c>
      <c r="K214" s="10" t="str">
        <f t="shared" si="266"/>
        <v>---</v>
      </c>
      <c r="L214" s="11">
        <f t="shared" si="267"/>
        <v>0</v>
      </c>
      <c r="M214" s="12">
        <f t="shared" si="268"/>
        <v>0</v>
      </c>
      <c r="N214" s="13">
        <f t="shared" si="269"/>
        <v>0</v>
      </c>
      <c r="O214" s="13">
        <f t="shared" si="270"/>
        <v>0</v>
      </c>
      <c r="P214" s="13">
        <f t="shared" si="271"/>
        <v>0</v>
      </c>
      <c r="Q214" s="13">
        <f t="shared" si="272"/>
        <v>0</v>
      </c>
      <c r="R214" s="13">
        <f t="shared" si="273"/>
        <v>0</v>
      </c>
      <c r="S214" s="13">
        <f t="shared" si="274"/>
        <v>0</v>
      </c>
      <c r="T214" s="13">
        <f t="shared" si="275"/>
        <v>0</v>
      </c>
      <c r="U214" s="13">
        <f t="shared" si="276"/>
        <v>0</v>
      </c>
      <c r="V214" s="13">
        <f t="shared" si="277"/>
        <v>0</v>
      </c>
      <c r="W214" s="14">
        <f t="shared" si="278"/>
        <v>0</v>
      </c>
      <c r="X214" s="154"/>
    </row>
    <row r="215" spans="2:24" ht="14.25" customHeight="1" x14ac:dyDescent="0.25">
      <c r="B215" s="265"/>
      <c r="C215" s="266"/>
      <c r="D215" s="267"/>
      <c r="E215" s="267"/>
      <c r="F215" s="268"/>
      <c r="G215" s="267"/>
      <c r="H215" s="269"/>
      <c r="I215" s="8">
        <f t="shared" ca="1" si="265"/>
        <v>0</v>
      </c>
      <c r="J215" s="9" t="str">
        <f t="shared" si="262"/>
        <v>INSERIR DATAS E TOT PARC</v>
      </c>
      <c r="K215" s="10" t="str">
        <f t="shared" si="266"/>
        <v>---</v>
      </c>
      <c r="L215" s="11">
        <f t="shared" si="267"/>
        <v>0</v>
      </c>
      <c r="M215" s="12">
        <f t="shared" si="268"/>
        <v>0</v>
      </c>
      <c r="N215" s="13">
        <f t="shared" si="269"/>
        <v>0</v>
      </c>
      <c r="O215" s="13">
        <f t="shared" si="270"/>
        <v>0</v>
      </c>
      <c r="P215" s="13">
        <f t="shared" si="271"/>
        <v>0</v>
      </c>
      <c r="Q215" s="13">
        <f t="shared" si="272"/>
        <v>0</v>
      </c>
      <c r="R215" s="13">
        <f t="shared" si="273"/>
        <v>0</v>
      </c>
      <c r="S215" s="13">
        <f t="shared" si="274"/>
        <v>0</v>
      </c>
      <c r="T215" s="13">
        <f t="shared" si="275"/>
        <v>0</v>
      </c>
      <c r="U215" s="13">
        <f t="shared" si="276"/>
        <v>0</v>
      </c>
      <c r="V215" s="13">
        <f t="shared" si="277"/>
        <v>0</v>
      </c>
      <c r="W215" s="14">
        <f t="shared" si="278"/>
        <v>0</v>
      </c>
      <c r="X215" s="154"/>
    </row>
    <row r="216" spans="2:24" ht="14.25" customHeight="1" x14ac:dyDescent="0.25">
      <c r="B216" s="265"/>
      <c r="C216" s="266"/>
      <c r="D216" s="267"/>
      <c r="E216" s="267"/>
      <c r="F216" s="268"/>
      <c r="G216" s="267"/>
      <c r="H216" s="269"/>
      <c r="I216" s="8">
        <f t="shared" ca="1" si="265"/>
        <v>0</v>
      </c>
      <c r="J216" s="9" t="str">
        <f t="shared" si="262"/>
        <v>INSERIR DATAS E TOT PARC</v>
      </c>
      <c r="K216" s="10" t="str">
        <f t="shared" si="266"/>
        <v>---</v>
      </c>
      <c r="L216" s="11">
        <f t="shared" si="267"/>
        <v>0</v>
      </c>
      <c r="M216" s="12">
        <f t="shared" si="268"/>
        <v>0</v>
      </c>
      <c r="N216" s="13">
        <f t="shared" si="269"/>
        <v>0</v>
      </c>
      <c r="O216" s="13">
        <f t="shared" si="270"/>
        <v>0</v>
      </c>
      <c r="P216" s="13">
        <f t="shared" si="271"/>
        <v>0</v>
      </c>
      <c r="Q216" s="13">
        <f t="shared" si="272"/>
        <v>0</v>
      </c>
      <c r="R216" s="13">
        <f t="shared" si="273"/>
        <v>0</v>
      </c>
      <c r="S216" s="13">
        <f t="shared" si="274"/>
        <v>0</v>
      </c>
      <c r="T216" s="13">
        <f t="shared" si="275"/>
        <v>0</v>
      </c>
      <c r="U216" s="13">
        <f t="shared" si="276"/>
        <v>0</v>
      </c>
      <c r="V216" s="13">
        <f t="shared" si="277"/>
        <v>0</v>
      </c>
      <c r="W216" s="14">
        <f t="shared" si="278"/>
        <v>0</v>
      </c>
      <c r="X216" s="154"/>
    </row>
    <row r="217" spans="2:24" s="143" customFormat="1" ht="14.25" customHeight="1" x14ac:dyDescent="0.25">
      <c r="B217" s="265"/>
      <c r="C217" s="266"/>
      <c r="D217" s="267"/>
      <c r="E217" s="267"/>
      <c r="F217" s="268"/>
      <c r="G217" s="267"/>
      <c r="H217" s="269"/>
      <c r="I217" s="8">
        <f t="shared" ref="I217:I222" ca="1" si="279">IF(AND(F217="anual",MONTH(B217)&lt;&gt;$D$2),0,IF(OR(J217=0,J217="TOTALMENTE PAGA"),0,H217))</f>
        <v>0</v>
      </c>
      <c r="J217" s="9" t="str">
        <f t="shared" ref="J217:J222" si="280">IF(OR(G217=0,B217=0,F217=0),"INSERIR DATAS E TOT PARC",IF(OR(F217="mensal",F217="anual"),IF(F217="anual",IF(OR(AND((MONTH(B217)=MONTH($A$2)),(DAY(B217)&gt;DAY($A$2))),AND((MONTH(B217)-1=MONTH($A$2)),(DAY(B217)&lt;=DAY($A$2)))),1,0),1),IF(B217&gt;G217,"DATAS INVALIDAS",IF(OR($A$2&lt;EDATE(G217,-1),$A$2=EDATE(G217,-1)),0,IF(OR($A$2&lt;G217,$A$2=G217),1,IF(DAY($A$2)&lt;5,IF(((YEAR($A$2)-YEAR(G217))*12+(MONTH($A$2)-MONTH(G217)+1))&gt;F217,"TOTALMENTE PAGA",(YEAR($A$2)-YEAR(G217))*12+(MONTH($A$2)-MONTH(G217)+1)),IF(($A$2&gt;K217),"TOTALMENTE PAGA",(YEAR($A$2)-YEAR(G217))*12+(MONTH($A$2)-MONTH(G217)+2))))))))</f>
        <v>INSERIR DATAS E TOT PARC</v>
      </c>
      <c r="K217" s="10" t="str">
        <f t="shared" ref="K217:K222" si="281">IF(OR(F217="anual",F217="mensal",B217=0),"---",EDATE(G217,F217-1))</f>
        <v>---</v>
      </c>
      <c r="L217" s="11">
        <f t="shared" ref="L217:L222" si="282">IF(OR(F217="mensal",F217="anual"),IF(J217=1,H217,0),IF(H217=0,0,IF(J217="TOTALMENTE PAGA",0,(F217-J217)*H217)))</f>
        <v>0</v>
      </c>
      <c r="M217" s="12">
        <f t="shared" ref="M217:M222" si="283">IF(F217="anual",IF(MONTH(B217)=$M$3,H217,0),IF(F217="mensal",I217,IF(K217="---",0,IF($M$2&lt;YEAR(K217),H217,IF($M$2=YEAR(K217),IF(OR($M$3&lt;MONTH(K217),$M$3=MONTH(K217)),H217,0),0)))))</f>
        <v>0</v>
      </c>
      <c r="N217" s="13">
        <f t="shared" ref="N217:N222" si="284">IF(F217="anual",IF(MONTH(B217)=$N$3,H217,0),IF(F217="mensal",I217,IF(K217="---",0,IF($N$2&lt;YEAR(K217),H217,IF($N$2=YEAR(K217),IF(OR($N$3&lt;MONTH(K217),$N$3=MONTH(K217)),H217,0),0)))))</f>
        <v>0</v>
      </c>
      <c r="O217" s="13">
        <f t="shared" ref="O217:O222" si="285">IF(F217="anual",IF(MONTH(B217)=$O$3,H217,0),IF(F217="mensal",I217,IF(K217="---",0,IF($O$2&lt;YEAR(K217),H217,IF($O$2=YEAR(K217),IF(OR($O$3&lt;MONTH(K217),$O$3=MONTH(K217)),H217,0),0)))))</f>
        <v>0</v>
      </c>
      <c r="P217" s="13">
        <f t="shared" ref="P217:P222" si="286">IF(F217="anual",IF(MONTH(B217)=$P$3,H217,0),IF(F217="mensal",I217,IF(K217="---",0,IF($P$2&lt;YEAR(K217),H217,IF($P$2=YEAR(K217),IF(OR($P$3&lt;MONTH(K217),$P$3=MONTH(K217)),H217,0),0)))))</f>
        <v>0</v>
      </c>
      <c r="Q217" s="13">
        <f t="shared" ref="Q217:Q222" si="287">IF(F217="anual",IF(MONTH(B217)=$Q$3,H217,0),IF(F217="mensal",I217,IF(K217="---",0,IF($Q$2&lt;YEAR(K217),H217,IF($Q$2=YEAR(K217),IF(OR($Q$3&lt;MONTH(K217),$Q$3=MONTH(K217)),H217,0),0)))))</f>
        <v>0</v>
      </c>
      <c r="R217" s="13">
        <f t="shared" ref="R217:R222" si="288">IF(F217="anual",IF(MONTH(B217)=$R$3,H217,0),IF(F217="mensal",I217,IF(K217="---",0,IF($R$2&lt;YEAR(K217),H217,IF($R$2=YEAR(K217),IF(OR($R$3&lt;MONTH(K217),$R$3=MONTH(K217)),H217,0),0)))))</f>
        <v>0</v>
      </c>
      <c r="S217" s="13">
        <f t="shared" ref="S217:S222" si="289">IF(F217="anual",IF(MONTH(B217)=$S$3,H217,0),IF(F217="mensal",I217,IF(K217="---",0,IF($S$2&lt;YEAR(K217),H217,IF($S$2=YEAR(K217),IF(OR($S$3&lt;MONTH(K217),$S$3=MONTH(K217)),H217,0),0)))))</f>
        <v>0</v>
      </c>
      <c r="T217" s="13">
        <f t="shared" ref="T217:T222" si="290">IF(F217="anual",IF(MONTH(B217)=$T$3,H217,0),IF(F217="mensal",I217,IF(K217="---",0,IF($T$2&lt;YEAR(K217),H217,IF($T$2=YEAR(K217),IF(OR($T$3&lt;MONTH(K217),$T$3=MONTH(K217)),H217,0),0)))))</f>
        <v>0</v>
      </c>
      <c r="U217" s="13">
        <f t="shared" ref="U217:U222" si="291">IF(F217="anual",IF(MONTH(B217)=$U$3,H217,0),IF(F217="mensal",I217,IF(K217="---",0,IF($U$2&lt;YEAR(K217),H217,IF($U$2=YEAR(K217),IF(OR($U$3&lt;MONTH(K217),$U$3=MONTH(K217)),H217,0),0)))))</f>
        <v>0</v>
      </c>
      <c r="V217" s="13">
        <f t="shared" ref="V217:V222" si="292">IF(F217="anual",IF(MONTH(B217)=$V$3,H217,0),IF(F217="mensal",I217,IF(K217="---",0,IF($V$2&lt;YEAR(K217),H217,IF($V$2=YEAR(K217),IF(OR($V$3&lt;MONTH(K217),$V$3=MONTH(K217)),H217,0),0)))))</f>
        <v>0</v>
      </c>
      <c r="W217" s="14">
        <f t="shared" ref="W217:W222" si="293">IF(F217="anual",IF(MONTH(B217)=$W$3,H217,0),IF(F217="mensal",I217,IF(K217="---",0,IF($W$2&lt;YEAR(K217),H217,IF($W$2=YEAR(K217),IF(OR($W$3&lt;MONTH(K217),$W$3=MONTH(K217)),H217,0),0)))))</f>
        <v>0</v>
      </c>
      <c r="X217" s="154"/>
    </row>
    <row r="218" spans="2:24" s="143" customFormat="1" ht="14.25" customHeight="1" x14ac:dyDescent="0.25">
      <c r="B218" s="265"/>
      <c r="C218" s="266"/>
      <c r="D218" s="267"/>
      <c r="E218" s="267"/>
      <c r="F218" s="268"/>
      <c r="G218" s="267"/>
      <c r="H218" s="269"/>
      <c r="I218" s="8">
        <f t="shared" ca="1" si="279"/>
        <v>0</v>
      </c>
      <c r="J218" s="9" t="str">
        <f t="shared" si="280"/>
        <v>INSERIR DATAS E TOT PARC</v>
      </c>
      <c r="K218" s="10" t="str">
        <f t="shared" si="281"/>
        <v>---</v>
      </c>
      <c r="L218" s="11">
        <f t="shared" si="282"/>
        <v>0</v>
      </c>
      <c r="M218" s="12">
        <f t="shared" si="283"/>
        <v>0</v>
      </c>
      <c r="N218" s="13">
        <f t="shared" si="284"/>
        <v>0</v>
      </c>
      <c r="O218" s="13">
        <f t="shared" si="285"/>
        <v>0</v>
      </c>
      <c r="P218" s="13">
        <f t="shared" si="286"/>
        <v>0</v>
      </c>
      <c r="Q218" s="13">
        <f t="shared" si="287"/>
        <v>0</v>
      </c>
      <c r="R218" s="13">
        <f t="shared" si="288"/>
        <v>0</v>
      </c>
      <c r="S218" s="13">
        <f t="shared" si="289"/>
        <v>0</v>
      </c>
      <c r="T218" s="13">
        <f t="shared" si="290"/>
        <v>0</v>
      </c>
      <c r="U218" s="13">
        <f t="shared" si="291"/>
        <v>0</v>
      </c>
      <c r="V218" s="13">
        <f t="shared" si="292"/>
        <v>0</v>
      </c>
      <c r="W218" s="14">
        <f t="shared" si="293"/>
        <v>0</v>
      </c>
      <c r="X218" s="154"/>
    </row>
    <row r="219" spans="2:24" s="143" customFormat="1" ht="14.25" customHeight="1" x14ac:dyDescent="0.25">
      <c r="B219" s="265"/>
      <c r="C219" s="266"/>
      <c r="D219" s="267"/>
      <c r="E219" s="267"/>
      <c r="F219" s="268"/>
      <c r="G219" s="267"/>
      <c r="H219" s="269"/>
      <c r="I219" s="8">
        <f t="shared" ca="1" si="279"/>
        <v>0</v>
      </c>
      <c r="J219" s="9" t="str">
        <f t="shared" si="280"/>
        <v>INSERIR DATAS E TOT PARC</v>
      </c>
      <c r="K219" s="10" t="str">
        <f t="shared" si="281"/>
        <v>---</v>
      </c>
      <c r="L219" s="11">
        <f t="shared" si="282"/>
        <v>0</v>
      </c>
      <c r="M219" s="12">
        <f t="shared" si="283"/>
        <v>0</v>
      </c>
      <c r="N219" s="13">
        <f t="shared" si="284"/>
        <v>0</v>
      </c>
      <c r="O219" s="13">
        <f t="shared" si="285"/>
        <v>0</v>
      </c>
      <c r="P219" s="13">
        <f t="shared" si="286"/>
        <v>0</v>
      </c>
      <c r="Q219" s="13">
        <f t="shared" si="287"/>
        <v>0</v>
      </c>
      <c r="R219" s="13">
        <f t="shared" si="288"/>
        <v>0</v>
      </c>
      <c r="S219" s="13">
        <f t="shared" si="289"/>
        <v>0</v>
      </c>
      <c r="T219" s="13">
        <f t="shared" si="290"/>
        <v>0</v>
      </c>
      <c r="U219" s="13">
        <f t="shared" si="291"/>
        <v>0</v>
      </c>
      <c r="V219" s="13">
        <f t="shared" si="292"/>
        <v>0</v>
      </c>
      <c r="W219" s="14">
        <f t="shared" si="293"/>
        <v>0</v>
      </c>
      <c r="X219" s="154"/>
    </row>
    <row r="220" spans="2:24" s="143" customFormat="1" ht="14.25" customHeight="1" x14ac:dyDescent="0.25">
      <c r="B220" s="265"/>
      <c r="C220" s="266"/>
      <c r="D220" s="267"/>
      <c r="E220" s="267"/>
      <c r="F220" s="268"/>
      <c r="G220" s="267"/>
      <c r="H220" s="269"/>
      <c r="I220" s="8">
        <f t="shared" ca="1" si="279"/>
        <v>0</v>
      </c>
      <c r="J220" s="9" t="str">
        <f t="shared" si="280"/>
        <v>INSERIR DATAS E TOT PARC</v>
      </c>
      <c r="K220" s="10" t="str">
        <f t="shared" si="281"/>
        <v>---</v>
      </c>
      <c r="L220" s="11">
        <f t="shared" si="282"/>
        <v>0</v>
      </c>
      <c r="M220" s="12">
        <f t="shared" si="283"/>
        <v>0</v>
      </c>
      <c r="N220" s="13">
        <f t="shared" si="284"/>
        <v>0</v>
      </c>
      <c r="O220" s="13">
        <f t="shared" si="285"/>
        <v>0</v>
      </c>
      <c r="P220" s="13">
        <f t="shared" si="286"/>
        <v>0</v>
      </c>
      <c r="Q220" s="13">
        <f t="shared" si="287"/>
        <v>0</v>
      </c>
      <c r="R220" s="13">
        <f t="shared" si="288"/>
        <v>0</v>
      </c>
      <c r="S220" s="13">
        <f t="shared" si="289"/>
        <v>0</v>
      </c>
      <c r="T220" s="13">
        <f t="shared" si="290"/>
        <v>0</v>
      </c>
      <c r="U220" s="13">
        <f t="shared" si="291"/>
        <v>0</v>
      </c>
      <c r="V220" s="13">
        <f t="shared" si="292"/>
        <v>0</v>
      </c>
      <c r="W220" s="14">
        <f t="shared" si="293"/>
        <v>0</v>
      </c>
      <c r="X220" s="154"/>
    </row>
    <row r="221" spans="2:24" s="143" customFormat="1" ht="14.25" customHeight="1" x14ac:dyDescent="0.25">
      <c r="B221" s="265"/>
      <c r="C221" s="266"/>
      <c r="D221" s="267"/>
      <c r="E221" s="267"/>
      <c r="F221" s="268"/>
      <c r="G221" s="267"/>
      <c r="H221" s="269"/>
      <c r="I221" s="8">
        <f t="shared" ca="1" si="279"/>
        <v>0</v>
      </c>
      <c r="J221" s="9" t="str">
        <f t="shared" si="280"/>
        <v>INSERIR DATAS E TOT PARC</v>
      </c>
      <c r="K221" s="10" t="str">
        <f t="shared" si="281"/>
        <v>---</v>
      </c>
      <c r="L221" s="11">
        <f t="shared" si="282"/>
        <v>0</v>
      </c>
      <c r="M221" s="12">
        <f t="shared" si="283"/>
        <v>0</v>
      </c>
      <c r="N221" s="13">
        <f t="shared" si="284"/>
        <v>0</v>
      </c>
      <c r="O221" s="13">
        <f t="shared" si="285"/>
        <v>0</v>
      </c>
      <c r="P221" s="13">
        <f t="shared" si="286"/>
        <v>0</v>
      </c>
      <c r="Q221" s="13">
        <f t="shared" si="287"/>
        <v>0</v>
      </c>
      <c r="R221" s="13">
        <f t="shared" si="288"/>
        <v>0</v>
      </c>
      <c r="S221" s="13">
        <f t="shared" si="289"/>
        <v>0</v>
      </c>
      <c r="T221" s="13">
        <f t="shared" si="290"/>
        <v>0</v>
      </c>
      <c r="U221" s="13">
        <f t="shared" si="291"/>
        <v>0</v>
      </c>
      <c r="V221" s="13">
        <f t="shared" si="292"/>
        <v>0</v>
      </c>
      <c r="W221" s="14">
        <f t="shared" si="293"/>
        <v>0</v>
      </c>
      <c r="X221" s="154"/>
    </row>
    <row r="222" spans="2:24" s="143" customFormat="1" ht="14.25" customHeight="1" x14ac:dyDescent="0.25">
      <c r="B222" s="265"/>
      <c r="C222" s="266"/>
      <c r="D222" s="267"/>
      <c r="E222" s="267"/>
      <c r="F222" s="268"/>
      <c r="G222" s="267"/>
      <c r="H222" s="269"/>
      <c r="I222" s="8">
        <f t="shared" ca="1" si="279"/>
        <v>0</v>
      </c>
      <c r="J222" s="9" t="str">
        <f t="shared" si="280"/>
        <v>INSERIR DATAS E TOT PARC</v>
      </c>
      <c r="K222" s="10" t="str">
        <f t="shared" si="281"/>
        <v>---</v>
      </c>
      <c r="L222" s="11">
        <f t="shared" si="282"/>
        <v>0</v>
      </c>
      <c r="M222" s="12">
        <f t="shared" si="283"/>
        <v>0</v>
      </c>
      <c r="N222" s="13">
        <f t="shared" si="284"/>
        <v>0</v>
      </c>
      <c r="O222" s="13">
        <f t="shared" si="285"/>
        <v>0</v>
      </c>
      <c r="P222" s="13">
        <f t="shared" si="286"/>
        <v>0</v>
      </c>
      <c r="Q222" s="13">
        <f t="shared" si="287"/>
        <v>0</v>
      </c>
      <c r="R222" s="13">
        <f t="shared" si="288"/>
        <v>0</v>
      </c>
      <c r="S222" s="13">
        <f t="shared" si="289"/>
        <v>0</v>
      </c>
      <c r="T222" s="13">
        <f t="shared" si="290"/>
        <v>0</v>
      </c>
      <c r="U222" s="13">
        <f t="shared" si="291"/>
        <v>0</v>
      </c>
      <c r="V222" s="13">
        <f t="shared" si="292"/>
        <v>0</v>
      </c>
      <c r="W222" s="14">
        <f t="shared" si="293"/>
        <v>0</v>
      </c>
      <c r="X222" s="154"/>
    </row>
    <row r="223" spans="2:24" ht="14.25" customHeight="1" x14ac:dyDescent="0.25">
      <c r="B223" s="265"/>
      <c r="C223" s="266"/>
      <c r="D223" s="267"/>
      <c r="E223" s="267"/>
      <c r="F223" s="268"/>
      <c r="G223" s="267"/>
      <c r="H223" s="269"/>
      <c r="I223" s="8">
        <f t="shared" ca="1" si="265"/>
        <v>0</v>
      </c>
      <c r="J223" s="9" t="str">
        <f t="shared" si="262"/>
        <v>INSERIR DATAS E TOT PARC</v>
      </c>
      <c r="K223" s="10" t="str">
        <f t="shared" si="266"/>
        <v>---</v>
      </c>
      <c r="L223" s="11">
        <f t="shared" si="267"/>
        <v>0</v>
      </c>
      <c r="M223" s="12">
        <f t="shared" si="268"/>
        <v>0</v>
      </c>
      <c r="N223" s="13">
        <f t="shared" si="269"/>
        <v>0</v>
      </c>
      <c r="O223" s="13">
        <f t="shared" si="270"/>
        <v>0</v>
      </c>
      <c r="P223" s="13">
        <f t="shared" si="271"/>
        <v>0</v>
      </c>
      <c r="Q223" s="13">
        <f t="shared" si="272"/>
        <v>0</v>
      </c>
      <c r="R223" s="13">
        <f t="shared" si="273"/>
        <v>0</v>
      </c>
      <c r="S223" s="13">
        <f t="shared" si="274"/>
        <v>0</v>
      </c>
      <c r="T223" s="13">
        <f t="shared" si="275"/>
        <v>0</v>
      </c>
      <c r="U223" s="13">
        <f t="shared" si="276"/>
        <v>0</v>
      </c>
      <c r="V223" s="13">
        <f t="shared" si="277"/>
        <v>0</v>
      </c>
      <c r="W223" s="14">
        <f t="shared" si="278"/>
        <v>0</v>
      </c>
      <c r="X223" s="154"/>
    </row>
    <row r="224" spans="2:24" ht="14.25" customHeight="1" x14ac:dyDescent="0.25">
      <c r="B224" s="265"/>
      <c r="C224" s="266"/>
      <c r="D224" s="267"/>
      <c r="E224" s="267"/>
      <c r="F224" s="268"/>
      <c r="G224" s="267"/>
      <c r="H224" s="269"/>
      <c r="I224" s="8">
        <f t="shared" ca="1" si="265"/>
        <v>0</v>
      </c>
      <c r="J224" s="9" t="str">
        <f t="shared" si="262"/>
        <v>INSERIR DATAS E TOT PARC</v>
      </c>
      <c r="K224" s="10" t="str">
        <f t="shared" si="266"/>
        <v>---</v>
      </c>
      <c r="L224" s="11">
        <f t="shared" si="267"/>
        <v>0</v>
      </c>
      <c r="M224" s="12">
        <f t="shared" si="268"/>
        <v>0</v>
      </c>
      <c r="N224" s="13">
        <f t="shared" si="269"/>
        <v>0</v>
      </c>
      <c r="O224" s="13">
        <f t="shared" si="270"/>
        <v>0</v>
      </c>
      <c r="P224" s="13">
        <f t="shared" si="271"/>
        <v>0</v>
      </c>
      <c r="Q224" s="13">
        <f t="shared" si="272"/>
        <v>0</v>
      </c>
      <c r="R224" s="13">
        <f t="shared" si="273"/>
        <v>0</v>
      </c>
      <c r="S224" s="13">
        <f t="shared" si="274"/>
        <v>0</v>
      </c>
      <c r="T224" s="13">
        <f t="shared" si="275"/>
        <v>0</v>
      </c>
      <c r="U224" s="13">
        <f t="shared" si="276"/>
        <v>0</v>
      </c>
      <c r="V224" s="13">
        <f t="shared" si="277"/>
        <v>0</v>
      </c>
      <c r="W224" s="14">
        <f t="shared" si="278"/>
        <v>0</v>
      </c>
      <c r="X224" s="154"/>
    </row>
    <row r="225" spans="1:25" ht="14.25" customHeight="1" thickBot="1" x14ac:dyDescent="0.3">
      <c r="B225" s="265"/>
      <c r="C225" s="266"/>
      <c r="D225" s="267"/>
      <c r="E225" s="267"/>
      <c r="F225" s="268"/>
      <c r="G225" s="267"/>
      <c r="H225" s="269"/>
      <c r="I225" s="8">
        <f t="shared" ca="1" si="265"/>
        <v>0</v>
      </c>
      <c r="J225" s="9" t="str">
        <f t="shared" si="262"/>
        <v>INSERIR DATAS E TOT PARC</v>
      </c>
      <c r="K225" s="10" t="str">
        <f t="shared" si="266"/>
        <v>---</v>
      </c>
      <c r="L225" s="11">
        <f t="shared" si="267"/>
        <v>0</v>
      </c>
      <c r="M225" s="12">
        <f t="shared" si="268"/>
        <v>0</v>
      </c>
      <c r="N225" s="13">
        <f t="shared" si="269"/>
        <v>0</v>
      </c>
      <c r="O225" s="13">
        <f t="shared" si="270"/>
        <v>0</v>
      </c>
      <c r="P225" s="13">
        <f t="shared" si="271"/>
        <v>0</v>
      </c>
      <c r="Q225" s="13">
        <f t="shared" si="272"/>
        <v>0</v>
      </c>
      <c r="R225" s="13">
        <f t="shared" si="273"/>
        <v>0</v>
      </c>
      <c r="S225" s="13">
        <f t="shared" si="274"/>
        <v>0</v>
      </c>
      <c r="T225" s="13">
        <f t="shared" si="275"/>
        <v>0</v>
      </c>
      <c r="U225" s="13">
        <f t="shared" si="276"/>
        <v>0</v>
      </c>
      <c r="V225" s="13">
        <f t="shared" si="277"/>
        <v>0</v>
      </c>
      <c r="W225" s="14">
        <f t="shared" si="278"/>
        <v>0</v>
      </c>
      <c r="X225" s="154"/>
    </row>
    <row r="226" spans="1:25" ht="14.25" customHeight="1" thickBot="1" x14ac:dyDescent="0.3">
      <c r="B226" s="346" t="s">
        <v>19</v>
      </c>
      <c r="C226" s="343"/>
      <c r="D226" s="347"/>
      <c r="E226" s="17">
        <f>MAX(K203:K225)</f>
        <v>0</v>
      </c>
      <c r="F226" s="330" t="s">
        <v>177</v>
      </c>
      <c r="G226" s="331"/>
      <c r="H226" s="332"/>
      <c r="I226" s="18">
        <f ca="1">IF(OR((J226&lt;$A$2),(J226=$A$2)),IF(($D$2-MONTH(J226))=0,0,IF(AND($D$2-MONTH(J226)=1,DAY(J226)&lt;32,DAY(J226)&gt;4),0,SUM(I203:I225))),"DT PAG &gt; DT HJ")</f>
        <v>0</v>
      </c>
      <c r="J226" s="225">
        <v>44621</v>
      </c>
      <c r="K226" s="19" t="s">
        <v>20</v>
      </c>
      <c r="L226" s="20">
        <f ca="1">SUM(L203:L225)+I226</f>
        <v>0</v>
      </c>
      <c r="M226" s="25">
        <f t="shared" ref="M226:W226" si="294">SUM(M203:M225)</f>
        <v>0</v>
      </c>
      <c r="N226" s="26">
        <f t="shared" si="294"/>
        <v>0</v>
      </c>
      <c r="O226" s="26">
        <f t="shared" si="294"/>
        <v>0</v>
      </c>
      <c r="P226" s="26">
        <f t="shared" si="294"/>
        <v>0</v>
      </c>
      <c r="Q226" s="26">
        <f t="shared" si="294"/>
        <v>0</v>
      </c>
      <c r="R226" s="26">
        <f t="shared" si="294"/>
        <v>0</v>
      </c>
      <c r="S226" s="26">
        <f t="shared" si="294"/>
        <v>0</v>
      </c>
      <c r="T226" s="26">
        <f t="shared" si="294"/>
        <v>0</v>
      </c>
      <c r="U226" s="26">
        <f t="shared" si="294"/>
        <v>0</v>
      </c>
      <c r="V226" s="26">
        <f t="shared" si="294"/>
        <v>0</v>
      </c>
      <c r="W226" s="27">
        <f t="shared" si="294"/>
        <v>0</v>
      </c>
      <c r="X226" s="21">
        <f>SUM(M226:W226)</f>
        <v>0</v>
      </c>
      <c r="Y226" s="76"/>
    </row>
    <row r="227" spans="1:25" ht="14.25" customHeight="1" thickBot="1" x14ac:dyDescent="0.3">
      <c r="B227" s="22"/>
      <c r="C227" s="23"/>
      <c r="D227" s="23"/>
      <c r="E227" s="23"/>
      <c r="F227" s="23"/>
      <c r="H227" s="7"/>
      <c r="I227" s="315"/>
      <c r="J227" s="310" t="s">
        <v>21</v>
      </c>
      <c r="K227" s="107"/>
      <c r="L227" s="311"/>
      <c r="M227" s="155">
        <f ca="1">IFERROR(M226/M$264,0)</f>
        <v>0</v>
      </c>
      <c r="N227" s="156">
        <f t="shared" ref="N227:W227" ca="1" si="295">IFERROR(N226/N$264,0)</f>
        <v>0</v>
      </c>
      <c r="O227" s="156">
        <f t="shared" ca="1" si="295"/>
        <v>0</v>
      </c>
      <c r="P227" s="156">
        <f t="shared" ca="1" si="295"/>
        <v>0</v>
      </c>
      <c r="Q227" s="156">
        <f t="shared" ca="1" si="295"/>
        <v>0</v>
      </c>
      <c r="R227" s="156">
        <f t="shared" ca="1" si="295"/>
        <v>0</v>
      </c>
      <c r="S227" s="156">
        <f t="shared" ca="1" si="295"/>
        <v>0</v>
      </c>
      <c r="T227" s="156">
        <f t="shared" ca="1" si="295"/>
        <v>0</v>
      </c>
      <c r="U227" s="156">
        <f t="shared" ca="1" si="295"/>
        <v>0</v>
      </c>
      <c r="V227" s="156">
        <f t="shared" ca="1" si="295"/>
        <v>0</v>
      </c>
      <c r="W227" s="157">
        <f t="shared" ca="1" si="295"/>
        <v>0</v>
      </c>
      <c r="X227" s="154"/>
    </row>
    <row r="228" spans="1:25" ht="14.25" customHeight="1" thickBot="1" x14ac:dyDescent="0.3">
      <c r="A228" s="75"/>
      <c r="B228" s="401" t="s">
        <v>169</v>
      </c>
      <c r="C228" s="402"/>
      <c r="D228" s="402"/>
      <c r="E228" s="402"/>
      <c r="F228" s="402"/>
      <c r="G228" s="402"/>
      <c r="H228" s="402"/>
      <c r="I228" s="403"/>
      <c r="J228" s="404"/>
      <c r="K228" s="404"/>
      <c r="L228" s="405"/>
      <c r="M228" s="368" t="str">
        <f>B228</f>
        <v>CARTÃO-07 | FINAL:XXXX</v>
      </c>
      <c r="N228" s="369"/>
      <c r="O228" s="369"/>
      <c r="P228" s="369"/>
      <c r="Q228" s="369"/>
      <c r="R228" s="369"/>
      <c r="S228" s="369"/>
      <c r="T228" s="369"/>
      <c r="U228" s="369"/>
      <c r="V228" s="369"/>
      <c r="W228" s="370"/>
      <c r="X228" s="154"/>
    </row>
    <row r="229" spans="1:25" ht="14.25" customHeight="1" x14ac:dyDescent="0.25">
      <c r="A229" s="75"/>
      <c r="B229" s="259">
        <v>44585</v>
      </c>
      <c r="C229" s="260" t="s">
        <v>97</v>
      </c>
      <c r="D229" s="261" t="s">
        <v>161</v>
      </c>
      <c r="E229" s="261" t="s">
        <v>162</v>
      </c>
      <c r="F229" s="262">
        <v>3</v>
      </c>
      <c r="G229" s="261">
        <v>44655</v>
      </c>
      <c r="H229" s="263">
        <v>500</v>
      </c>
      <c r="I229" s="312">
        <f t="shared" ref="I229" ca="1" si="296">IF(AND(F229="anual",MONTH(B229)&lt;&gt;$D$2),0,IF(OR(J229=0,J229="TOTALMENTE PAGA"),0,H229))</f>
        <v>500</v>
      </c>
      <c r="J229" s="313">
        <f t="shared" ref="J229:J261" ca="1" si="297">IF(OR(G229=0,B229=0,F229=0),"INSERIR DATAS E TOT PARC",IF(OR(F229="mensal",F229="anual"),IF(F229="anual",IF(OR(AND((MONTH(B229)=MONTH($A$2)),(DAY(B229)&gt;DAY($A$2))),AND((MONTH(B229)-1=MONTH($A$2)),(DAY(B229)&lt;=DAY($A$2)))),1,0),1),IF(B229&gt;G229,"DATAS INVALIDAS",IF(OR($A$2&lt;EDATE(G229,-1),$A$2=EDATE(G229,-1)),0,IF(OR($A$2&lt;G229,$A$2=G229),1,IF(DAY($A$2)&lt;5,IF(((YEAR($A$2)-YEAR(G229))*12+(MONTH($A$2)-MONTH(G229)+1))&gt;F229,"TOTALMENTE PAGA",(YEAR($A$2)-YEAR(G229))*12+(MONTH($A$2)-MONTH(G229)+1)),IF(($A$2&gt;K229),"TOTALMENTE PAGA",(YEAR($A$2)-YEAR(G229))*12+(MONTH($A$2)-MONTH(G229)+2))))))))</f>
        <v>1</v>
      </c>
      <c r="K229" s="10">
        <f t="shared" ref="K229" si="298">IF(OR(F229="anual",F229="mensal",B229=0),"---",EDATE(G229,F229-1))</f>
        <v>44716</v>
      </c>
      <c r="L229" s="314">
        <f t="shared" ref="L229" ca="1" si="299">IF(OR(F229="mensal",F229="anual"),IF(J229=1,H229,0),IF(H229=0,0,IF(J229="TOTALMENTE PAGA",0,(F229-J229)*H229)))</f>
        <v>1000</v>
      </c>
      <c r="M229" s="12">
        <f ca="1">IF(F229="anual",IF(MONTH(B229)=$M$3,H229,0),IF(F229="mensal",I229,IF(K229="---",0,IF($M$2&lt;YEAR(K229),H229,IF($M$2=YEAR(K229),IF(OR($M$3&lt;MONTH(K229),$M$3=MONTH(K229)),H229,0),0)))))</f>
        <v>500</v>
      </c>
      <c r="N229" s="13">
        <f ca="1">IF(F229="anual",IF(MONTH(B229)=$N$3,H229,0),IF(F229="mensal",I229,IF(K229="---",0,IF($N$2&lt;YEAR(K229),H229,IF($N$2=YEAR(K229),IF(OR($N$3&lt;MONTH(K229),$N$3=MONTH(K229)),H229,0),0)))))</f>
        <v>500</v>
      </c>
      <c r="O229" s="13">
        <f ca="1">IF(F229="anual",IF(MONTH(B229)=$O$3,H229,0),IF(F229="mensal",I229,IF(K229="---",0,IF($O$2&lt;YEAR(K229),H229,IF($O$2=YEAR(K229),IF(OR($O$3&lt;MONTH(K229),$O$3=MONTH(K229)),H229,0),0)))))</f>
        <v>0</v>
      </c>
      <c r="P229" s="13">
        <f ca="1">IF(F229="anual",IF(MONTH(B229)=$P$3,H229,0),IF(F229="mensal",I229,IF(K229="---",0,IF($P$2&lt;YEAR(K229),H229,IF($P$2=YEAR(K229),IF(OR($P$3&lt;MONTH(K229),$P$3=MONTH(K229)),H229,0),0)))))</f>
        <v>0</v>
      </c>
      <c r="Q229" s="13">
        <f ca="1">IF(F229="anual",IF(MONTH(B229)=$Q$3,H229,0),IF(F229="mensal",I229,IF(K229="---",0,IF($Q$2&lt;YEAR(K229),H229,IF($Q$2=YEAR(K229),IF(OR($Q$3&lt;MONTH(K229),$Q$3=MONTH(K229)),H229,0),0)))))</f>
        <v>0</v>
      </c>
      <c r="R229" s="13">
        <f ca="1">IF(F229="anual",IF(MONTH(B229)=$R$3,H229,0),IF(F229="mensal",I229,IF(K229="---",0,IF($R$2&lt;YEAR(K229),H229,IF($R$2=YEAR(K229),IF(OR($R$3&lt;MONTH(K229),$R$3=MONTH(K229)),H229,0),0)))))</f>
        <v>0</v>
      </c>
      <c r="S229" s="13">
        <f ca="1">IF(F229="anual",IF(MONTH(B229)=$S$3,H229,0),IF(F229="mensal",I229,IF(K229="---",0,IF($S$2&lt;YEAR(K229),H229,IF($S$2=YEAR(K229),IF(OR($S$3&lt;MONTH(K229),$S$3=MONTH(K229)),H229,0),0)))))</f>
        <v>0</v>
      </c>
      <c r="T229" s="13">
        <f ca="1">IF(F229="anual",IF(MONTH(B229)=$T$3,H229,0),IF(F229="mensal",I229,IF(K229="---",0,IF($T$2&lt;YEAR(K229),H229,IF($T$2=YEAR(K229),IF(OR($T$3&lt;MONTH(K229),$T$3=MONTH(K229)),H229,0),0)))))</f>
        <v>0</v>
      </c>
      <c r="U229" s="13">
        <f ca="1">IF(F229="anual",IF(MONTH(B229)=$U$3,H229,0),IF(F229="mensal",I229,IF(K229="---",0,IF($U$2&lt;YEAR(K229),H229,IF($U$2=YEAR(K229),IF(OR($U$3&lt;MONTH(K229),$U$3=MONTH(K229)),H229,0),0)))))</f>
        <v>0</v>
      </c>
      <c r="V229" s="13">
        <f ca="1">IF(F229="anual",IF(MONTH(B229)=$V$3,H229,0),IF(F229="mensal",I229,IF(K229="---",0,IF($V$2&lt;YEAR(K229),H229,IF($V$2=YEAR(K229),IF(OR($V$3&lt;MONTH(K229),$V$3=MONTH(K229)),H229,0),0)))))</f>
        <v>0</v>
      </c>
      <c r="W229" s="14">
        <f ca="1">IF(F229="anual",IF(MONTH(B229)=$W$3,H229,0),IF(F229="mensal",I229,IF(K229="---",0,IF($W$2&lt;YEAR(K229),H229,IF($W$2=YEAR(K229),IF(OR($W$3&lt;MONTH(K229),$W$3=MONTH(K229)),H229,0),0)))))</f>
        <v>0</v>
      </c>
      <c r="X229" s="154"/>
    </row>
    <row r="230" spans="1:25" ht="14.25" customHeight="1" x14ac:dyDescent="0.25">
      <c r="A230" s="75"/>
      <c r="B230" s="259">
        <v>44585</v>
      </c>
      <c r="C230" s="260" t="s">
        <v>97</v>
      </c>
      <c r="D230" s="261" t="s">
        <v>161</v>
      </c>
      <c r="E230" s="261" t="s">
        <v>162</v>
      </c>
      <c r="F230" s="262">
        <v>3</v>
      </c>
      <c r="G230" s="261">
        <v>44655</v>
      </c>
      <c r="H230" s="263">
        <v>400</v>
      </c>
      <c r="I230" s="8">
        <f t="shared" ref="I230:I261" ca="1" si="300">IF(AND(F230="anual",MONTH(B230)&lt;&gt;$D$2),0,IF(OR(J230=0,J230="TOTALMENTE PAGA"),0,H230))</f>
        <v>400</v>
      </c>
      <c r="J230" s="9">
        <f t="shared" ca="1" si="297"/>
        <v>1</v>
      </c>
      <c r="K230" s="10">
        <f t="shared" ref="K230:K261" si="301">IF(OR(F230="anual",F230="mensal",B230=0),"---",EDATE(G230,F230-1))</f>
        <v>44716</v>
      </c>
      <c r="L230" s="11">
        <f t="shared" ref="L230:L261" ca="1" si="302">IF(OR(F230="mensal",F230="anual"),IF(J230=1,H230,0),IF(H230=0,0,IF(J230="TOTALMENTE PAGA",0,(F230-J230)*H230)))</f>
        <v>800</v>
      </c>
      <c r="M230" s="12">
        <f t="shared" ref="M230:M261" ca="1" si="303">IF(F230="anual",IF(MONTH(B230)=$M$3,H230,0),IF(F230="mensal",I230,IF(K230="---",0,IF($M$2&lt;YEAR(K230),H230,IF($M$2=YEAR(K230),IF(OR($M$3&lt;MONTH(K230),$M$3=MONTH(K230)),H230,0),0)))))</f>
        <v>400</v>
      </c>
      <c r="N230" s="13">
        <f t="shared" ref="N230:N261" ca="1" si="304">IF(F230="anual",IF(MONTH(B230)=$N$3,H230,0),IF(F230="mensal",I230,IF(K230="---",0,IF($N$2&lt;YEAR(K230),H230,IF($N$2=YEAR(K230),IF(OR($N$3&lt;MONTH(K230),$N$3=MONTH(K230)),H230,0),0)))))</f>
        <v>400</v>
      </c>
      <c r="O230" s="13">
        <f t="shared" ref="O230:O261" ca="1" si="305">IF(F230="anual",IF(MONTH(B230)=$O$3,H230,0),IF(F230="mensal",I230,IF(K230="---",0,IF($O$2&lt;YEAR(K230),H230,IF($O$2=YEAR(K230),IF(OR($O$3&lt;MONTH(K230),$O$3=MONTH(K230)),H230,0),0)))))</f>
        <v>0</v>
      </c>
      <c r="P230" s="13">
        <f t="shared" ref="P230:P261" ca="1" si="306">IF(F230="anual",IF(MONTH(B230)=$P$3,H230,0),IF(F230="mensal",I230,IF(K230="---",0,IF($P$2&lt;YEAR(K230),H230,IF($P$2=YEAR(K230),IF(OR($P$3&lt;MONTH(K230),$P$3=MONTH(K230)),H230,0),0)))))</f>
        <v>0</v>
      </c>
      <c r="Q230" s="13">
        <f t="shared" ref="Q230:Q261" ca="1" si="307">IF(F230="anual",IF(MONTH(B230)=$Q$3,H230,0),IF(F230="mensal",I230,IF(K230="---",0,IF($Q$2&lt;YEAR(K230),H230,IF($Q$2=YEAR(K230),IF(OR($Q$3&lt;MONTH(K230),$Q$3=MONTH(K230)),H230,0),0)))))</f>
        <v>0</v>
      </c>
      <c r="R230" s="13">
        <f t="shared" ref="R230:R261" ca="1" si="308">IF(F230="anual",IF(MONTH(B230)=$R$3,H230,0),IF(F230="mensal",I230,IF(K230="---",0,IF($R$2&lt;YEAR(K230),H230,IF($R$2=YEAR(K230),IF(OR($R$3&lt;MONTH(K230),$R$3=MONTH(K230)),H230,0),0)))))</f>
        <v>0</v>
      </c>
      <c r="S230" s="13">
        <f t="shared" ref="S230:S261" ca="1" si="309">IF(F230="anual",IF(MONTH(B230)=$S$3,H230,0),IF(F230="mensal",I230,IF(K230="---",0,IF($S$2&lt;YEAR(K230),H230,IF($S$2=YEAR(K230),IF(OR($S$3&lt;MONTH(K230),$S$3=MONTH(K230)),H230,0),0)))))</f>
        <v>0</v>
      </c>
      <c r="T230" s="13">
        <f t="shared" ref="T230:T261" ca="1" si="310">IF(F230="anual",IF(MONTH(B230)=$T$3,H230,0),IF(F230="mensal",I230,IF(K230="---",0,IF($T$2&lt;YEAR(K230),H230,IF($T$2=YEAR(K230),IF(OR($T$3&lt;MONTH(K230),$T$3=MONTH(K230)),H230,0),0)))))</f>
        <v>0</v>
      </c>
      <c r="U230" s="13">
        <f t="shared" ref="U230:U261" ca="1" si="311">IF(F230="anual",IF(MONTH(B230)=$U$3,H230,0),IF(F230="mensal",I230,IF(K230="---",0,IF($U$2&lt;YEAR(K230),H230,IF($U$2=YEAR(K230),IF(OR($U$3&lt;MONTH(K230),$U$3=MONTH(K230)),H230,0),0)))))</f>
        <v>0</v>
      </c>
      <c r="V230" s="13">
        <f t="shared" ref="V230:V261" ca="1" si="312">IF(F230="anual",IF(MONTH(B230)=$V$3,H230,0),IF(F230="mensal",I230,IF(K230="---",0,IF($V$2&lt;YEAR(K230),H230,IF($V$2=YEAR(K230),IF(OR($V$3&lt;MONTH(K230),$V$3=MONTH(K230)),H230,0),0)))))</f>
        <v>0</v>
      </c>
      <c r="W230" s="14">
        <f t="shared" ref="W230:W261" ca="1" si="313">IF(F230="anual",IF(MONTH(B230)=$W$3,H230,0),IF(F230="mensal",I230,IF(K230="---",0,IF($W$2&lt;YEAR(K230),H230,IF($W$2=YEAR(K230),IF(OR($W$3&lt;MONTH(K230),$W$3=MONTH(K230)),H230,0),0)))))</f>
        <v>0</v>
      </c>
      <c r="X230" s="154"/>
    </row>
    <row r="231" spans="1:25" ht="14.25" customHeight="1" x14ac:dyDescent="0.25">
      <c r="A231" s="72"/>
      <c r="B231" s="259"/>
      <c r="C231" s="260"/>
      <c r="D231" s="261"/>
      <c r="E231" s="261"/>
      <c r="F231" s="262"/>
      <c r="G231" s="261"/>
      <c r="H231" s="263"/>
      <c r="I231" s="8">
        <f t="shared" ca="1" si="300"/>
        <v>0</v>
      </c>
      <c r="J231" s="9" t="str">
        <f t="shared" si="297"/>
        <v>INSERIR DATAS E TOT PARC</v>
      </c>
      <c r="K231" s="10" t="str">
        <f t="shared" si="301"/>
        <v>---</v>
      </c>
      <c r="L231" s="11">
        <f t="shared" si="302"/>
        <v>0</v>
      </c>
      <c r="M231" s="12">
        <f t="shared" si="303"/>
        <v>0</v>
      </c>
      <c r="N231" s="13">
        <f t="shared" si="304"/>
        <v>0</v>
      </c>
      <c r="O231" s="13">
        <f t="shared" si="305"/>
        <v>0</v>
      </c>
      <c r="P231" s="13">
        <f t="shared" si="306"/>
        <v>0</v>
      </c>
      <c r="Q231" s="13">
        <f t="shared" si="307"/>
        <v>0</v>
      </c>
      <c r="R231" s="13">
        <f t="shared" si="308"/>
        <v>0</v>
      </c>
      <c r="S231" s="13">
        <f t="shared" si="309"/>
        <v>0</v>
      </c>
      <c r="T231" s="13">
        <f t="shared" si="310"/>
        <v>0</v>
      </c>
      <c r="U231" s="13">
        <f t="shared" si="311"/>
        <v>0</v>
      </c>
      <c r="V231" s="13">
        <f t="shared" si="312"/>
        <v>0</v>
      </c>
      <c r="W231" s="14">
        <f t="shared" si="313"/>
        <v>0</v>
      </c>
      <c r="X231" s="154"/>
    </row>
    <row r="232" spans="1:25" ht="14.25" customHeight="1" x14ac:dyDescent="0.25">
      <c r="A232" s="72"/>
      <c r="B232" s="259"/>
      <c r="C232" s="260"/>
      <c r="D232" s="261"/>
      <c r="E232" s="261"/>
      <c r="F232" s="264"/>
      <c r="G232" s="261"/>
      <c r="H232" s="263"/>
      <c r="I232" s="8">
        <f t="shared" ca="1" si="300"/>
        <v>0</v>
      </c>
      <c r="J232" s="9" t="str">
        <f t="shared" si="297"/>
        <v>INSERIR DATAS E TOT PARC</v>
      </c>
      <c r="K232" s="10" t="str">
        <f t="shared" si="301"/>
        <v>---</v>
      </c>
      <c r="L232" s="11">
        <f t="shared" si="302"/>
        <v>0</v>
      </c>
      <c r="M232" s="12">
        <f t="shared" si="303"/>
        <v>0</v>
      </c>
      <c r="N232" s="13">
        <f t="shared" si="304"/>
        <v>0</v>
      </c>
      <c r="O232" s="13">
        <f t="shared" si="305"/>
        <v>0</v>
      </c>
      <c r="P232" s="13">
        <f t="shared" si="306"/>
        <v>0</v>
      </c>
      <c r="Q232" s="13">
        <f t="shared" si="307"/>
        <v>0</v>
      </c>
      <c r="R232" s="13">
        <f t="shared" si="308"/>
        <v>0</v>
      </c>
      <c r="S232" s="13">
        <f t="shared" si="309"/>
        <v>0</v>
      </c>
      <c r="T232" s="13">
        <f t="shared" si="310"/>
        <v>0</v>
      </c>
      <c r="U232" s="13">
        <f t="shared" si="311"/>
        <v>0</v>
      </c>
      <c r="V232" s="13">
        <f t="shared" si="312"/>
        <v>0</v>
      </c>
      <c r="W232" s="14">
        <f t="shared" si="313"/>
        <v>0</v>
      </c>
      <c r="X232" s="154"/>
    </row>
    <row r="233" spans="1:25" ht="14.25" customHeight="1" x14ac:dyDescent="0.25">
      <c r="A233" s="72"/>
      <c r="B233" s="259"/>
      <c r="C233" s="260"/>
      <c r="D233" s="261"/>
      <c r="E233" s="261"/>
      <c r="F233" s="264"/>
      <c r="G233" s="261"/>
      <c r="H233" s="263"/>
      <c r="I233" s="8">
        <f t="shared" ca="1" si="300"/>
        <v>0</v>
      </c>
      <c r="J233" s="9" t="str">
        <f t="shared" si="297"/>
        <v>INSERIR DATAS E TOT PARC</v>
      </c>
      <c r="K233" s="10" t="str">
        <f t="shared" si="301"/>
        <v>---</v>
      </c>
      <c r="L233" s="11">
        <f t="shared" si="302"/>
        <v>0</v>
      </c>
      <c r="M233" s="12">
        <f t="shared" si="303"/>
        <v>0</v>
      </c>
      <c r="N233" s="13">
        <f t="shared" si="304"/>
        <v>0</v>
      </c>
      <c r="O233" s="13">
        <f t="shared" si="305"/>
        <v>0</v>
      </c>
      <c r="P233" s="13">
        <f t="shared" si="306"/>
        <v>0</v>
      </c>
      <c r="Q233" s="13">
        <f t="shared" si="307"/>
        <v>0</v>
      </c>
      <c r="R233" s="13">
        <f t="shared" si="308"/>
        <v>0</v>
      </c>
      <c r="S233" s="13">
        <f t="shared" si="309"/>
        <v>0</v>
      </c>
      <c r="T233" s="13">
        <f t="shared" si="310"/>
        <v>0</v>
      </c>
      <c r="U233" s="13">
        <f t="shared" si="311"/>
        <v>0</v>
      </c>
      <c r="V233" s="13">
        <f t="shared" si="312"/>
        <v>0</v>
      </c>
      <c r="W233" s="14">
        <f t="shared" si="313"/>
        <v>0</v>
      </c>
      <c r="X233" s="154"/>
    </row>
    <row r="234" spans="1:25" ht="14.25" customHeight="1" x14ac:dyDescent="0.25">
      <c r="B234" s="259"/>
      <c r="C234" s="260"/>
      <c r="D234" s="261"/>
      <c r="E234" s="261"/>
      <c r="F234" s="264"/>
      <c r="G234" s="261"/>
      <c r="H234" s="263"/>
      <c r="I234" s="8">
        <f t="shared" ca="1" si="300"/>
        <v>0</v>
      </c>
      <c r="J234" s="9" t="str">
        <f t="shared" si="297"/>
        <v>INSERIR DATAS E TOT PARC</v>
      </c>
      <c r="K234" s="10" t="str">
        <f t="shared" si="301"/>
        <v>---</v>
      </c>
      <c r="L234" s="11">
        <f t="shared" si="302"/>
        <v>0</v>
      </c>
      <c r="M234" s="12">
        <f t="shared" si="303"/>
        <v>0</v>
      </c>
      <c r="N234" s="13">
        <f t="shared" si="304"/>
        <v>0</v>
      </c>
      <c r="O234" s="13">
        <f t="shared" si="305"/>
        <v>0</v>
      </c>
      <c r="P234" s="13">
        <f t="shared" si="306"/>
        <v>0</v>
      </c>
      <c r="Q234" s="13">
        <f t="shared" si="307"/>
        <v>0</v>
      </c>
      <c r="R234" s="13">
        <f t="shared" si="308"/>
        <v>0</v>
      </c>
      <c r="S234" s="13">
        <f t="shared" si="309"/>
        <v>0</v>
      </c>
      <c r="T234" s="13">
        <f t="shared" si="310"/>
        <v>0</v>
      </c>
      <c r="U234" s="13">
        <f t="shared" si="311"/>
        <v>0</v>
      </c>
      <c r="V234" s="13">
        <f t="shared" si="312"/>
        <v>0</v>
      </c>
      <c r="W234" s="14">
        <f t="shared" si="313"/>
        <v>0</v>
      </c>
      <c r="X234" s="154"/>
    </row>
    <row r="235" spans="1:25" ht="14.25" customHeight="1" x14ac:dyDescent="0.25">
      <c r="B235" s="259"/>
      <c r="C235" s="260"/>
      <c r="D235" s="261"/>
      <c r="E235" s="261"/>
      <c r="F235" s="264"/>
      <c r="G235" s="261"/>
      <c r="H235" s="263"/>
      <c r="I235" s="8">
        <f t="shared" ca="1" si="300"/>
        <v>0</v>
      </c>
      <c r="J235" s="9" t="str">
        <f t="shared" si="297"/>
        <v>INSERIR DATAS E TOT PARC</v>
      </c>
      <c r="K235" s="10" t="str">
        <f t="shared" si="301"/>
        <v>---</v>
      </c>
      <c r="L235" s="11">
        <f t="shared" si="302"/>
        <v>0</v>
      </c>
      <c r="M235" s="12">
        <f t="shared" si="303"/>
        <v>0</v>
      </c>
      <c r="N235" s="13">
        <f t="shared" si="304"/>
        <v>0</v>
      </c>
      <c r="O235" s="13">
        <f t="shared" si="305"/>
        <v>0</v>
      </c>
      <c r="P235" s="13">
        <f t="shared" si="306"/>
        <v>0</v>
      </c>
      <c r="Q235" s="13">
        <f t="shared" si="307"/>
        <v>0</v>
      </c>
      <c r="R235" s="13">
        <f t="shared" si="308"/>
        <v>0</v>
      </c>
      <c r="S235" s="13">
        <f t="shared" si="309"/>
        <v>0</v>
      </c>
      <c r="T235" s="13">
        <f t="shared" si="310"/>
        <v>0</v>
      </c>
      <c r="U235" s="13">
        <f t="shared" si="311"/>
        <v>0</v>
      </c>
      <c r="V235" s="13">
        <f t="shared" si="312"/>
        <v>0</v>
      </c>
      <c r="W235" s="14">
        <f t="shared" si="313"/>
        <v>0</v>
      </c>
      <c r="X235" s="154"/>
    </row>
    <row r="236" spans="1:25" ht="14.25" customHeight="1" x14ac:dyDescent="0.25">
      <c r="B236" s="259"/>
      <c r="C236" s="260"/>
      <c r="D236" s="261"/>
      <c r="E236" s="261"/>
      <c r="F236" s="264"/>
      <c r="G236" s="261"/>
      <c r="H236" s="263"/>
      <c r="I236" s="8">
        <f t="shared" ca="1" si="300"/>
        <v>0</v>
      </c>
      <c r="J236" s="9" t="str">
        <f t="shared" si="297"/>
        <v>INSERIR DATAS E TOT PARC</v>
      </c>
      <c r="K236" s="10" t="str">
        <f t="shared" si="301"/>
        <v>---</v>
      </c>
      <c r="L236" s="11">
        <f t="shared" si="302"/>
        <v>0</v>
      </c>
      <c r="M236" s="12">
        <f t="shared" si="303"/>
        <v>0</v>
      </c>
      <c r="N236" s="13">
        <f t="shared" si="304"/>
        <v>0</v>
      </c>
      <c r="O236" s="13">
        <f t="shared" si="305"/>
        <v>0</v>
      </c>
      <c r="P236" s="13">
        <f t="shared" si="306"/>
        <v>0</v>
      </c>
      <c r="Q236" s="13">
        <f t="shared" si="307"/>
        <v>0</v>
      </c>
      <c r="R236" s="13">
        <f t="shared" si="308"/>
        <v>0</v>
      </c>
      <c r="S236" s="13">
        <f t="shared" si="309"/>
        <v>0</v>
      </c>
      <c r="T236" s="13">
        <f t="shared" si="310"/>
        <v>0</v>
      </c>
      <c r="U236" s="13">
        <f t="shared" si="311"/>
        <v>0</v>
      </c>
      <c r="V236" s="13">
        <f t="shared" si="312"/>
        <v>0</v>
      </c>
      <c r="W236" s="14">
        <f t="shared" si="313"/>
        <v>0</v>
      </c>
      <c r="X236" s="154"/>
    </row>
    <row r="237" spans="1:25" ht="14.25" customHeight="1" x14ac:dyDescent="0.25">
      <c r="B237" s="259"/>
      <c r="C237" s="260"/>
      <c r="D237" s="261"/>
      <c r="E237" s="261"/>
      <c r="F237" s="264"/>
      <c r="G237" s="261"/>
      <c r="H237" s="263"/>
      <c r="I237" s="8">
        <f t="shared" ca="1" si="300"/>
        <v>0</v>
      </c>
      <c r="J237" s="9" t="str">
        <f t="shared" si="297"/>
        <v>INSERIR DATAS E TOT PARC</v>
      </c>
      <c r="K237" s="10" t="str">
        <f t="shared" si="301"/>
        <v>---</v>
      </c>
      <c r="L237" s="11">
        <f t="shared" si="302"/>
        <v>0</v>
      </c>
      <c r="M237" s="12">
        <f t="shared" si="303"/>
        <v>0</v>
      </c>
      <c r="N237" s="13">
        <f t="shared" si="304"/>
        <v>0</v>
      </c>
      <c r="O237" s="13">
        <f t="shared" si="305"/>
        <v>0</v>
      </c>
      <c r="P237" s="13">
        <f t="shared" si="306"/>
        <v>0</v>
      </c>
      <c r="Q237" s="13">
        <f t="shared" si="307"/>
        <v>0</v>
      </c>
      <c r="R237" s="13">
        <f t="shared" si="308"/>
        <v>0</v>
      </c>
      <c r="S237" s="13">
        <f t="shared" si="309"/>
        <v>0</v>
      </c>
      <c r="T237" s="13">
        <f t="shared" si="310"/>
        <v>0</v>
      </c>
      <c r="U237" s="13">
        <f t="shared" si="311"/>
        <v>0</v>
      </c>
      <c r="V237" s="13">
        <f t="shared" si="312"/>
        <v>0</v>
      </c>
      <c r="W237" s="14">
        <f t="shared" si="313"/>
        <v>0</v>
      </c>
      <c r="X237" s="154"/>
    </row>
    <row r="238" spans="1:25" ht="14.25" customHeight="1" x14ac:dyDescent="0.25">
      <c r="B238" s="259"/>
      <c r="C238" s="260"/>
      <c r="D238" s="261"/>
      <c r="E238" s="261"/>
      <c r="F238" s="262"/>
      <c r="G238" s="261"/>
      <c r="H238" s="263"/>
      <c r="I238" s="8">
        <f t="shared" ca="1" si="300"/>
        <v>0</v>
      </c>
      <c r="J238" s="9" t="str">
        <f t="shared" si="297"/>
        <v>INSERIR DATAS E TOT PARC</v>
      </c>
      <c r="K238" s="10" t="str">
        <f t="shared" si="301"/>
        <v>---</v>
      </c>
      <c r="L238" s="11">
        <f t="shared" si="302"/>
        <v>0</v>
      </c>
      <c r="M238" s="12">
        <f t="shared" si="303"/>
        <v>0</v>
      </c>
      <c r="N238" s="13">
        <f t="shared" si="304"/>
        <v>0</v>
      </c>
      <c r="O238" s="13">
        <f t="shared" si="305"/>
        <v>0</v>
      </c>
      <c r="P238" s="13">
        <f t="shared" si="306"/>
        <v>0</v>
      </c>
      <c r="Q238" s="13">
        <f t="shared" si="307"/>
        <v>0</v>
      </c>
      <c r="R238" s="13">
        <f t="shared" si="308"/>
        <v>0</v>
      </c>
      <c r="S238" s="13">
        <f t="shared" si="309"/>
        <v>0</v>
      </c>
      <c r="T238" s="13">
        <f t="shared" si="310"/>
        <v>0</v>
      </c>
      <c r="U238" s="13">
        <f t="shared" si="311"/>
        <v>0</v>
      </c>
      <c r="V238" s="13">
        <f t="shared" si="312"/>
        <v>0</v>
      </c>
      <c r="W238" s="14">
        <f t="shared" si="313"/>
        <v>0</v>
      </c>
      <c r="X238" s="154"/>
    </row>
    <row r="239" spans="1:25" ht="14.25" customHeight="1" x14ac:dyDescent="0.25">
      <c r="B239" s="259"/>
      <c r="C239" s="260"/>
      <c r="D239" s="261"/>
      <c r="E239" s="261"/>
      <c r="F239" s="262"/>
      <c r="G239" s="261"/>
      <c r="H239" s="263"/>
      <c r="I239" s="8">
        <f t="shared" ca="1" si="300"/>
        <v>0</v>
      </c>
      <c r="J239" s="9" t="str">
        <f t="shared" si="297"/>
        <v>INSERIR DATAS E TOT PARC</v>
      </c>
      <c r="K239" s="10" t="str">
        <f t="shared" si="301"/>
        <v>---</v>
      </c>
      <c r="L239" s="11">
        <f t="shared" si="302"/>
        <v>0</v>
      </c>
      <c r="M239" s="12">
        <f t="shared" si="303"/>
        <v>0</v>
      </c>
      <c r="N239" s="13">
        <f t="shared" si="304"/>
        <v>0</v>
      </c>
      <c r="O239" s="13">
        <f t="shared" si="305"/>
        <v>0</v>
      </c>
      <c r="P239" s="13">
        <f t="shared" si="306"/>
        <v>0</v>
      </c>
      <c r="Q239" s="13">
        <f t="shared" si="307"/>
        <v>0</v>
      </c>
      <c r="R239" s="13">
        <f t="shared" si="308"/>
        <v>0</v>
      </c>
      <c r="S239" s="13">
        <f t="shared" si="309"/>
        <v>0</v>
      </c>
      <c r="T239" s="13">
        <f t="shared" si="310"/>
        <v>0</v>
      </c>
      <c r="U239" s="13">
        <f t="shared" si="311"/>
        <v>0</v>
      </c>
      <c r="V239" s="13">
        <f t="shared" si="312"/>
        <v>0</v>
      </c>
      <c r="W239" s="14">
        <f t="shared" si="313"/>
        <v>0</v>
      </c>
      <c r="X239" s="154"/>
    </row>
    <row r="240" spans="1:25" ht="14.25" customHeight="1" x14ac:dyDescent="0.25">
      <c r="B240" s="259"/>
      <c r="C240" s="260"/>
      <c r="D240" s="261"/>
      <c r="E240" s="261"/>
      <c r="F240" s="262"/>
      <c r="G240" s="261"/>
      <c r="H240" s="263"/>
      <c r="I240" s="8">
        <f t="shared" ca="1" si="300"/>
        <v>0</v>
      </c>
      <c r="J240" s="9" t="str">
        <f t="shared" si="297"/>
        <v>INSERIR DATAS E TOT PARC</v>
      </c>
      <c r="K240" s="10" t="str">
        <f t="shared" si="301"/>
        <v>---</v>
      </c>
      <c r="L240" s="11">
        <f t="shared" si="302"/>
        <v>0</v>
      </c>
      <c r="M240" s="12">
        <f t="shared" si="303"/>
        <v>0</v>
      </c>
      <c r="N240" s="13">
        <f t="shared" si="304"/>
        <v>0</v>
      </c>
      <c r="O240" s="13">
        <f t="shared" si="305"/>
        <v>0</v>
      </c>
      <c r="P240" s="13">
        <f t="shared" si="306"/>
        <v>0</v>
      </c>
      <c r="Q240" s="13">
        <f t="shared" si="307"/>
        <v>0</v>
      </c>
      <c r="R240" s="13">
        <f t="shared" si="308"/>
        <v>0</v>
      </c>
      <c r="S240" s="13">
        <f t="shared" si="309"/>
        <v>0</v>
      </c>
      <c r="T240" s="13">
        <f t="shared" si="310"/>
        <v>0</v>
      </c>
      <c r="U240" s="13">
        <f t="shared" si="311"/>
        <v>0</v>
      </c>
      <c r="V240" s="13">
        <f t="shared" si="312"/>
        <v>0</v>
      </c>
      <c r="W240" s="14">
        <f t="shared" si="313"/>
        <v>0</v>
      </c>
      <c r="X240" s="154"/>
    </row>
    <row r="241" spans="2:24" ht="14.25" customHeight="1" x14ac:dyDescent="0.25">
      <c r="B241" s="259"/>
      <c r="C241" s="260"/>
      <c r="D241" s="261"/>
      <c r="E241" s="261"/>
      <c r="F241" s="262"/>
      <c r="G241" s="261"/>
      <c r="H241" s="263"/>
      <c r="I241" s="8">
        <f t="shared" ca="1" si="300"/>
        <v>0</v>
      </c>
      <c r="J241" s="9" t="str">
        <f t="shared" si="297"/>
        <v>INSERIR DATAS E TOT PARC</v>
      </c>
      <c r="K241" s="10" t="str">
        <f t="shared" si="301"/>
        <v>---</v>
      </c>
      <c r="L241" s="11">
        <f t="shared" si="302"/>
        <v>0</v>
      </c>
      <c r="M241" s="12">
        <f t="shared" si="303"/>
        <v>0</v>
      </c>
      <c r="N241" s="13">
        <f t="shared" si="304"/>
        <v>0</v>
      </c>
      <c r="O241" s="13">
        <f t="shared" si="305"/>
        <v>0</v>
      </c>
      <c r="P241" s="13">
        <f t="shared" si="306"/>
        <v>0</v>
      </c>
      <c r="Q241" s="13">
        <f t="shared" si="307"/>
        <v>0</v>
      </c>
      <c r="R241" s="13">
        <f t="shared" si="308"/>
        <v>0</v>
      </c>
      <c r="S241" s="13">
        <f t="shared" si="309"/>
        <v>0</v>
      </c>
      <c r="T241" s="13">
        <f t="shared" si="310"/>
        <v>0</v>
      </c>
      <c r="U241" s="13">
        <f t="shared" si="311"/>
        <v>0</v>
      </c>
      <c r="V241" s="13">
        <f t="shared" si="312"/>
        <v>0</v>
      </c>
      <c r="W241" s="14">
        <f t="shared" si="313"/>
        <v>0</v>
      </c>
      <c r="X241" s="154"/>
    </row>
    <row r="242" spans="2:24" s="137" customFormat="1" ht="14.25" customHeight="1" x14ac:dyDescent="0.25">
      <c r="B242" s="259"/>
      <c r="C242" s="260"/>
      <c r="D242" s="261"/>
      <c r="E242" s="261"/>
      <c r="F242" s="262"/>
      <c r="G242" s="261"/>
      <c r="H242" s="263"/>
      <c r="I242" s="8">
        <f t="shared" ref="I242:I249" ca="1" si="314">IF(AND(F242="anual",MONTH(B242)&lt;&gt;$D$2),0,IF(OR(J242=0,J242="TOTALMENTE PAGA"),0,H242))</f>
        <v>0</v>
      </c>
      <c r="J242" s="9" t="str">
        <f t="shared" ref="J242:J249" si="315">IF(OR(G242=0,B242=0,F242=0),"INSERIR DATAS E TOT PARC",IF(OR(F242="mensal",F242="anual"),IF(F242="anual",IF(OR(AND((MONTH(B242)=MONTH($A$2)),(DAY(B242)&gt;DAY($A$2))),AND((MONTH(B242)-1=MONTH($A$2)),(DAY(B242)&lt;=DAY($A$2)))),1,0),1),IF(B242&gt;G242,"DATAS INVALIDAS",IF(OR($A$2&lt;EDATE(G242,-1),$A$2=EDATE(G242,-1)),0,IF(OR($A$2&lt;G242,$A$2=G242),1,IF(DAY($A$2)&lt;5,IF(((YEAR($A$2)-YEAR(G242))*12+(MONTH($A$2)-MONTH(G242)+1))&gt;F242,"TOTALMENTE PAGA",(YEAR($A$2)-YEAR(G242))*12+(MONTH($A$2)-MONTH(G242)+1)),IF(($A$2&gt;K242),"TOTALMENTE PAGA",(YEAR($A$2)-YEAR(G242))*12+(MONTH($A$2)-MONTH(G242)+2))))))))</f>
        <v>INSERIR DATAS E TOT PARC</v>
      </c>
      <c r="K242" s="10" t="str">
        <f t="shared" ref="K242:K249" si="316">IF(OR(F242="anual",F242="mensal",B242=0),"---",EDATE(G242,F242-1))</f>
        <v>---</v>
      </c>
      <c r="L242" s="11">
        <f t="shared" ref="L242:L249" si="317">IF(OR(F242="mensal",F242="anual"),IF(J242=1,H242,0),IF(H242=0,0,IF(J242="TOTALMENTE PAGA",0,(F242-J242)*H242)))</f>
        <v>0</v>
      </c>
      <c r="M242" s="12">
        <f t="shared" ref="M242:M249" si="318">IF(F242="anual",IF(MONTH(B242)=$M$3,H242,0),IF(F242="mensal",I242,IF(K242="---",0,IF($M$2&lt;YEAR(K242),H242,IF($M$2=YEAR(K242),IF(OR($M$3&lt;MONTH(K242),$M$3=MONTH(K242)),H242,0),0)))))</f>
        <v>0</v>
      </c>
      <c r="N242" s="13">
        <f t="shared" ref="N242:N249" si="319">IF(F242="anual",IF(MONTH(B242)=$N$3,H242,0),IF(F242="mensal",I242,IF(K242="---",0,IF($N$2&lt;YEAR(K242),H242,IF($N$2=YEAR(K242),IF(OR($N$3&lt;MONTH(K242),$N$3=MONTH(K242)),H242,0),0)))))</f>
        <v>0</v>
      </c>
      <c r="O242" s="13">
        <f t="shared" ref="O242:O249" si="320">IF(F242="anual",IF(MONTH(B242)=$O$3,H242,0),IF(F242="mensal",I242,IF(K242="---",0,IF($O$2&lt;YEAR(K242),H242,IF($O$2=YEAR(K242),IF(OR($O$3&lt;MONTH(K242),$O$3=MONTH(K242)),H242,0),0)))))</f>
        <v>0</v>
      </c>
      <c r="P242" s="13">
        <f t="shared" ref="P242:P249" si="321">IF(F242="anual",IF(MONTH(B242)=$P$3,H242,0),IF(F242="mensal",I242,IF(K242="---",0,IF($P$2&lt;YEAR(K242),H242,IF($P$2=YEAR(K242),IF(OR($P$3&lt;MONTH(K242),$P$3=MONTH(K242)),H242,0),0)))))</f>
        <v>0</v>
      </c>
      <c r="Q242" s="13">
        <f t="shared" ref="Q242:Q249" si="322">IF(F242="anual",IF(MONTH(B242)=$Q$3,H242,0),IF(F242="mensal",I242,IF(K242="---",0,IF($Q$2&lt;YEAR(K242),H242,IF($Q$2=YEAR(K242),IF(OR($Q$3&lt;MONTH(K242),$Q$3=MONTH(K242)),H242,0),0)))))</f>
        <v>0</v>
      </c>
      <c r="R242" s="13">
        <f t="shared" ref="R242:R249" si="323">IF(F242="anual",IF(MONTH(B242)=$R$3,H242,0),IF(F242="mensal",I242,IF(K242="---",0,IF($R$2&lt;YEAR(K242),H242,IF($R$2=YEAR(K242),IF(OR($R$3&lt;MONTH(K242),$R$3=MONTH(K242)),H242,0),0)))))</f>
        <v>0</v>
      </c>
      <c r="S242" s="13">
        <f t="shared" ref="S242:S249" si="324">IF(F242="anual",IF(MONTH(B242)=$S$3,H242,0),IF(F242="mensal",I242,IF(K242="---",0,IF($S$2&lt;YEAR(K242),H242,IF($S$2=YEAR(K242),IF(OR($S$3&lt;MONTH(K242),$S$3=MONTH(K242)),H242,0),0)))))</f>
        <v>0</v>
      </c>
      <c r="T242" s="13">
        <f t="shared" ref="T242:T249" si="325">IF(F242="anual",IF(MONTH(B242)=$T$3,H242,0),IF(F242="mensal",I242,IF(K242="---",0,IF($T$2&lt;YEAR(K242),H242,IF($T$2=YEAR(K242),IF(OR($T$3&lt;MONTH(K242),$T$3=MONTH(K242)),H242,0),0)))))</f>
        <v>0</v>
      </c>
      <c r="U242" s="13">
        <f t="shared" ref="U242:U249" si="326">IF(F242="anual",IF(MONTH(B242)=$U$3,H242,0),IF(F242="mensal",I242,IF(K242="---",0,IF($U$2&lt;YEAR(K242),H242,IF($U$2=YEAR(K242),IF(OR($U$3&lt;MONTH(K242),$U$3=MONTH(K242)),H242,0),0)))))</f>
        <v>0</v>
      </c>
      <c r="V242" s="13">
        <f t="shared" ref="V242:V249" si="327">IF(F242="anual",IF(MONTH(B242)=$V$3,H242,0),IF(F242="mensal",I242,IF(K242="---",0,IF($V$2&lt;YEAR(K242),H242,IF($V$2=YEAR(K242),IF(OR($V$3&lt;MONTH(K242),$V$3=MONTH(K242)),H242,0),0)))))</f>
        <v>0</v>
      </c>
      <c r="W242" s="14">
        <f t="shared" ref="W242:W249" si="328">IF(F242="anual",IF(MONTH(B242)=$W$3,H242,0),IF(F242="mensal",I242,IF(K242="---",0,IF($W$2&lt;YEAR(K242),H242,IF($W$2=YEAR(K242),IF(OR($W$3&lt;MONTH(K242),$W$3=MONTH(K242)),H242,0),0)))))</f>
        <v>0</v>
      </c>
      <c r="X242" s="154"/>
    </row>
    <row r="243" spans="2:24" s="137" customFormat="1" x14ac:dyDescent="0.25">
      <c r="B243" s="259"/>
      <c r="C243" s="260"/>
      <c r="D243" s="261"/>
      <c r="E243" s="261"/>
      <c r="F243" s="262"/>
      <c r="G243" s="261"/>
      <c r="H243" s="263"/>
      <c r="I243" s="8">
        <f t="shared" ca="1" si="314"/>
        <v>0</v>
      </c>
      <c r="J243" s="9" t="str">
        <f t="shared" si="315"/>
        <v>INSERIR DATAS E TOT PARC</v>
      </c>
      <c r="K243" s="10" t="str">
        <f t="shared" si="316"/>
        <v>---</v>
      </c>
      <c r="L243" s="11">
        <f t="shared" si="317"/>
        <v>0</v>
      </c>
      <c r="M243" s="12">
        <f t="shared" si="318"/>
        <v>0</v>
      </c>
      <c r="N243" s="13">
        <f t="shared" si="319"/>
        <v>0</v>
      </c>
      <c r="O243" s="13">
        <f t="shared" si="320"/>
        <v>0</v>
      </c>
      <c r="P243" s="13">
        <f t="shared" si="321"/>
        <v>0</v>
      </c>
      <c r="Q243" s="13">
        <f t="shared" si="322"/>
        <v>0</v>
      </c>
      <c r="R243" s="13">
        <f t="shared" si="323"/>
        <v>0</v>
      </c>
      <c r="S243" s="13">
        <f t="shared" si="324"/>
        <v>0</v>
      </c>
      <c r="T243" s="13">
        <f t="shared" si="325"/>
        <v>0</v>
      </c>
      <c r="U243" s="13">
        <f t="shared" si="326"/>
        <v>0</v>
      </c>
      <c r="V243" s="13">
        <f t="shared" si="327"/>
        <v>0</v>
      </c>
      <c r="W243" s="14">
        <f t="shared" si="328"/>
        <v>0</v>
      </c>
      <c r="X243" s="154"/>
    </row>
    <row r="244" spans="2:24" s="137" customFormat="1" ht="14.25" customHeight="1" x14ac:dyDescent="0.25">
      <c r="B244" s="259"/>
      <c r="C244" s="260"/>
      <c r="D244" s="261"/>
      <c r="E244" s="261"/>
      <c r="F244" s="262"/>
      <c r="G244" s="261"/>
      <c r="H244" s="263"/>
      <c r="I244" s="8">
        <f t="shared" ca="1" si="314"/>
        <v>0</v>
      </c>
      <c r="J244" s="9" t="str">
        <f t="shared" si="315"/>
        <v>INSERIR DATAS E TOT PARC</v>
      </c>
      <c r="K244" s="10" t="str">
        <f t="shared" si="316"/>
        <v>---</v>
      </c>
      <c r="L244" s="11">
        <f t="shared" si="317"/>
        <v>0</v>
      </c>
      <c r="M244" s="12">
        <f t="shared" si="318"/>
        <v>0</v>
      </c>
      <c r="N244" s="13">
        <f t="shared" si="319"/>
        <v>0</v>
      </c>
      <c r="O244" s="13">
        <f t="shared" si="320"/>
        <v>0</v>
      </c>
      <c r="P244" s="13">
        <f t="shared" si="321"/>
        <v>0</v>
      </c>
      <c r="Q244" s="13">
        <f t="shared" si="322"/>
        <v>0</v>
      </c>
      <c r="R244" s="13">
        <f t="shared" si="323"/>
        <v>0</v>
      </c>
      <c r="S244" s="13">
        <f t="shared" si="324"/>
        <v>0</v>
      </c>
      <c r="T244" s="13">
        <f t="shared" si="325"/>
        <v>0</v>
      </c>
      <c r="U244" s="13">
        <f t="shared" si="326"/>
        <v>0</v>
      </c>
      <c r="V244" s="13">
        <f t="shared" si="327"/>
        <v>0</v>
      </c>
      <c r="W244" s="14">
        <f t="shared" si="328"/>
        <v>0</v>
      </c>
      <c r="X244" s="154"/>
    </row>
    <row r="245" spans="2:24" s="137" customFormat="1" ht="14.25" customHeight="1" x14ac:dyDescent="0.25">
      <c r="B245" s="259"/>
      <c r="C245" s="260"/>
      <c r="D245" s="261"/>
      <c r="E245" s="261"/>
      <c r="F245" s="262"/>
      <c r="G245" s="261"/>
      <c r="H245" s="263"/>
      <c r="I245" s="8">
        <f t="shared" ca="1" si="314"/>
        <v>0</v>
      </c>
      <c r="J245" s="9" t="str">
        <f t="shared" si="315"/>
        <v>INSERIR DATAS E TOT PARC</v>
      </c>
      <c r="K245" s="10" t="str">
        <f t="shared" si="316"/>
        <v>---</v>
      </c>
      <c r="L245" s="11">
        <f t="shared" si="317"/>
        <v>0</v>
      </c>
      <c r="M245" s="12">
        <f t="shared" si="318"/>
        <v>0</v>
      </c>
      <c r="N245" s="13">
        <f t="shared" si="319"/>
        <v>0</v>
      </c>
      <c r="O245" s="13">
        <f t="shared" si="320"/>
        <v>0</v>
      </c>
      <c r="P245" s="13">
        <f t="shared" si="321"/>
        <v>0</v>
      </c>
      <c r="Q245" s="13">
        <f t="shared" si="322"/>
        <v>0</v>
      </c>
      <c r="R245" s="13">
        <f t="shared" si="323"/>
        <v>0</v>
      </c>
      <c r="S245" s="13">
        <f t="shared" si="324"/>
        <v>0</v>
      </c>
      <c r="T245" s="13">
        <f t="shared" si="325"/>
        <v>0</v>
      </c>
      <c r="U245" s="13">
        <f t="shared" si="326"/>
        <v>0</v>
      </c>
      <c r="V245" s="13">
        <f t="shared" si="327"/>
        <v>0</v>
      </c>
      <c r="W245" s="14">
        <f t="shared" si="328"/>
        <v>0</v>
      </c>
      <c r="X245" s="154"/>
    </row>
    <row r="246" spans="2:24" s="137" customFormat="1" ht="14.25" customHeight="1" x14ac:dyDescent="0.25">
      <c r="B246" s="259"/>
      <c r="C246" s="260"/>
      <c r="D246" s="261"/>
      <c r="E246" s="261"/>
      <c r="F246" s="262"/>
      <c r="G246" s="261"/>
      <c r="H246" s="263"/>
      <c r="I246" s="8">
        <f t="shared" ca="1" si="314"/>
        <v>0</v>
      </c>
      <c r="J246" s="9" t="str">
        <f t="shared" si="315"/>
        <v>INSERIR DATAS E TOT PARC</v>
      </c>
      <c r="K246" s="10" t="str">
        <f t="shared" si="316"/>
        <v>---</v>
      </c>
      <c r="L246" s="11">
        <f t="shared" si="317"/>
        <v>0</v>
      </c>
      <c r="M246" s="12">
        <f t="shared" si="318"/>
        <v>0</v>
      </c>
      <c r="N246" s="13">
        <f t="shared" si="319"/>
        <v>0</v>
      </c>
      <c r="O246" s="13">
        <f t="shared" si="320"/>
        <v>0</v>
      </c>
      <c r="P246" s="13">
        <f t="shared" si="321"/>
        <v>0</v>
      </c>
      <c r="Q246" s="13">
        <f t="shared" si="322"/>
        <v>0</v>
      </c>
      <c r="R246" s="13">
        <f t="shared" si="323"/>
        <v>0</v>
      </c>
      <c r="S246" s="13">
        <f t="shared" si="324"/>
        <v>0</v>
      </c>
      <c r="T246" s="13">
        <f t="shared" si="325"/>
        <v>0</v>
      </c>
      <c r="U246" s="13">
        <f t="shared" si="326"/>
        <v>0</v>
      </c>
      <c r="V246" s="13">
        <f t="shared" si="327"/>
        <v>0</v>
      </c>
      <c r="W246" s="14">
        <f t="shared" si="328"/>
        <v>0</v>
      </c>
      <c r="X246" s="154"/>
    </row>
    <row r="247" spans="2:24" s="138" customFormat="1" ht="14.25" customHeight="1" x14ac:dyDescent="0.25">
      <c r="B247" s="259"/>
      <c r="C247" s="260"/>
      <c r="D247" s="261"/>
      <c r="E247" s="261"/>
      <c r="F247" s="262"/>
      <c r="G247" s="261"/>
      <c r="H247" s="263"/>
      <c r="I247" s="8">
        <f t="shared" ref="I247" ca="1" si="329">IF(AND(F247="anual",MONTH(B247)&lt;&gt;$D$2),0,IF(OR(J247=0,J247="TOTALMENTE PAGA"),0,H247))</f>
        <v>0</v>
      </c>
      <c r="J247" s="9" t="str">
        <f t="shared" ref="J247" si="330">IF(OR(G247=0,B247=0,F247=0),"INSERIR DATAS E TOT PARC",IF(OR(F247="mensal",F247="anual"),IF(F247="anual",IF(OR(AND((MONTH(B247)=MONTH($A$2)),(DAY(B247)&gt;DAY($A$2))),AND((MONTH(B247)-1=MONTH($A$2)),(DAY(B247)&lt;=DAY($A$2)))),1,0),1),IF(B247&gt;G247,"DATAS INVALIDAS",IF(OR($A$2&lt;EDATE(G247,-1),$A$2=EDATE(G247,-1)),0,IF(OR($A$2&lt;G247,$A$2=G247),1,IF(DAY($A$2)&lt;5,IF(((YEAR($A$2)-YEAR(G247))*12+(MONTH($A$2)-MONTH(G247)+1))&gt;F247,"TOTALMENTE PAGA",(YEAR($A$2)-YEAR(G247))*12+(MONTH($A$2)-MONTH(G247)+1)),IF(($A$2&gt;K247),"TOTALMENTE PAGA",(YEAR($A$2)-YEAR(G247))*12+(MONTH($A$2)-MONTH(G247)+2))))))))</f>
        <v>INSERIR DATAS E TOT PARC</v>
      </c>
      <c r="K247" s="10" t="str">
        <f t="shared" ref="K247" si="331">IF(OR(F247="anual",F247="mensal",B247=0),"---",EDATE(G247,F247-1))</f>
        <v>---</v>
      </c>
      <c r="L247" s="11">
        <f t="shared" ref="L247" si="332">IF(OR(F247="mensal",F247="anual"),IF(J247=1,H247,0),IF(H247=0,0,IF(J247="TOTALMENTE PAGA",0,(F247-J247)*H247)))</f>
        <v>0</v>
      </c>
      <c r="M247" s="12">
        <f t="shared" ref="M247" si="333">IF(F247="anual",IF(MONTH(B247)=$M$3,H247,0),IF(F247="mensal",I247,IF(K247="---",0,IF($M$2&lt;YEAR(K247),H247,IF($M$2=YEAR(K247),IF(OR($M$3&lt;MONTH(K247),$M$3=MONTH(K247)),H247,0),0)))))</f>
        <v>0</v>
      </c>
      <c r="N247" s="13">
        <f t="shared" ref="N247" si="334">IF(F247="anual",IF(MONTH(B247)=$N$3,H247,0),IF(F247="mensal",I247,IF(K247="---",0,IF($N$2&lt;YEAR(K247),H247,IF($N$2=YEAR(K247),IF(OR($N$3&lt;MONTH(K247),$N$3=MONTH(K247)),H247,0),0)))))</f>
        <v>0</v>
      </c>
      <c r="O247" s="13">
        <f t="shared" ref="O247" si="335">IF(F247="anual",IF(MONTH(B247)=$O$3,H247,0),IF(F247="mensal",I247,IF(K247="---",0,IF($O$2&lt;YEAR(K247),H247,IF($O$2=YEAR(K247),IF(OR($O$3&lt;MONTH(K247),$O$3=MONTH(K247)),H247,0),0)))))</f>
        <v>0</v>
      </c>
      <c r="P247" s="13">
        <f t="shared" ref="P247" si="336">IF(F247="anual",IF(MONTH(B247)=$P$3,H247,0),IF(F247="mensal",I247,IF(K247="---",0,IF($P$2&lt;YEAR(K247),H247,IF($P$2=YEAR(K247),IF(OR($P$3&lt;MONTH(K247),$P$3=MONTH(K247)),H247,0),0)))))</f>
        <v>0</v>
      </c>
      <c r="Q247" s="13">
        <f t="shared" ref="Q247" si="337">IF(F247="anual",IF(MONTH(B247)=$Q$3,H247,0),IF(F247="mensal",I247,IF(K247="---",0,IF($Q$2&lt;YEAR(K247),H247,IF($Q$2=YEAR(K247),IF(OR($Q$3&lt;MONTH(K247),$Q$3=MONTH(K247)),H247,0),0)))))</f>
        <v>0</v>
      </c>
      <c r="R247" s="13">
        <f t="shared" ref="R247" si="338">IF(F247="anual",IF(MONTH(B247)=$R$3,H247,0),IF(F247="mensal",I247,IF(K247="---",0,IF($R$2&lt;YEAR(K247),H247,IF($R$2=YEAR(K247),IF(OR($R$3&lt;MONTH(K247),$R$3=MONTH(K247)),H247,0),0)))))</f>
        <v>0</v>
      </c>
      <c r="S247" s="13">
        <f t="shared" ref="S247" si="339">IF(F247="anual",IF(MONTH(B247)=$S$3,H247,0),IF(F247="mensal",I247,IF(K247="---",0,IF($S$2&lt;YEAR(K247),H247,IF($S$2=YEAR(K247),IF(OR($S$3&lt;MONTH(K247),$S$3=MONTH(K247)),H247,0),0)))))</f>
        <v>0</v>
      </c>
      <c r="T247" s="13">
        <f t="shared" ref="T247" si="340">IF(F247="anual",IF(MONTH(B247)=$T$3,H247,0),IF(F247="mensal",I247,IF(K247="---",0,IF($T$2&lt;YEAR(K247),H247,IF($T$2=YEAR(K247),IF(OR($T$3&lt;MONTH(K247),$T$3=MONTH(K247)),H247,0),0)))))</f>
        <v>0</v>
      </c>
      <c r="U247" s="13">
        <f t="shared" ref="U247" si="341">IF(F247="anual",IF(MONTH(B247)=$U$3,H247,0),IF(F247="mensal",I247,IF(K247="---",0,IF($U$2&lt;YEAR(K247),H247,IF($U$2=YEAR(K247),IF(OR($U$3&lt;MONTH(K247),$U$3=MONTH(K247)),H247,0),0)))))</f>
        <v>0</v>
      </c>
      <c r="V247" s="13">
        <f t="shared" ref="V247" si="342">IF(F247="anual",IF(MONTH(B247)=$V$3,H247,0),IF(F247="mensal",I247,IF(K247="---",0,IF($V$2&lt;YEAR(K247),H247,IF($V$2=YEAR(K247),IF(OR($V$3&lt;MONTH(K247),$V$3=MONTH(K247)),H247,0),0)))))</f>
        <v>0</v>
      </c>
      <c r="W247" s="14">
        <f t="shared" ref="W247" si="343">IF(F247="anual",IF(MONTH(B247)=$W$3,H247,0),IF(F247="mensal",I247,IF(K247="---",0,IF($W$2&lt;YEAR(K247),H247,IF($W$2=YEAR(K247),IF(OR($W$3&lt;MONTH(K247),$W$3=MONTH(K247)),H247,0),0)))))</f>
        <v>0</v>
      </c>
      <c r="X247" s="154"/>
    </row>
    <row r="248" spans="2:24" s="137" customFormat="1" ht="14.25" customHeight="1" x14ac:dyDescent="0.25">
      <c r="B248" s="259"/>
      <c r="C248" s="260"/>
      <c r="D248" s="261"/>
      <c r="E248" s="261"/>
      <c r="F248" s="262"/>
      <c r="G248" s="261"/>
      <c r="H248" s="263"/>
      <c r="I248" s="8">
        <f t="shared" ca="1" si="314"/>
        <v>0</v>
      </c>
      <c r="J248" s="9" t="str">
        <f t="shared" si="315"/>
        <v>INSERIR DATAS E TOT PARC</v>
      </c>
      <c r="K248" s="10" t="str">
        <f t="shared" si="316"/>
        <v>---</v>
      </c>
      <c r="L248" s="11">
        <f t="shared" si="317"/>
        <v>0</v>
      </c>
      <c r="M248" s="12">
        <f t="shared" si="318"/>
        <v>0</v>
      </c>
      <c r="N248" s="13">
        <f t="shared" si="319"/>
        <v>0</v>
      </c>
      <c r="O248" s="13">
        <f t="shared" si="320"/>
        <v>0</v>
      </c>
      <c r="P248" s="13">
        <f t="shared" si="321"/>
        <v>0</v>
      </c>
      <c r="Q248" s="13">
        <f t="shared" si="322"/>
        <v>0</v>
      </c>
      <c r="R248" s="13">
        <f t="shared" si="323"/>
        <v>0</v>
      </c>
      <c r="S248" s="13">
        <f t="shared" si="324"/>
        <v>0</v>
      </c>
      <c r="T248" s="13">
        <f t="shared" si="325"/>
        <v>0</v>
      </c>
      <c r="U248" s="13">
        <f t="shared" si="326"/>
        <v>0</v>
      </c>
      <c r="V248" s="13">
        <f t="shared" si="327"/>
        <v>0</v>
      </c>
      <c r="W248" s="14">
        <f t="shared" si="328"/>
        <v>0</v>
      </c>
      <c r="X248" s="154"/>
    </row>
    <row r="249" spans="2:24" s="138" customFormat="1" ht="14.25" customHeight="1" x14ac:dyDescent="0.25">
      <c r="B249" s="259"/>
      <c r="C249" s="260"/>
      <c r="D249" s="261"/>
      <c r="E249" s="261"/>
      <c r="F249" s="262"/>
      <c r="G249" s="261"/>
      <c r="H249" s="263"/>
      <c r="I249" s="8">
        <f t="shared" ca="1" si="314"/>
        <v>0</v>
      </c>
      <c r="J249" s="9" t="str">
        <f t="shared" si="315"/>
        <v>INSERIR DATAS E TOT PARC</v>
      </c>
      <c r="K249" s="10" t="str">
        <f t="shared" si="316"/>
        <v>---</v>
      </c>
      <c r="L249" s="11">
        <f t="shared" si="317"/>
        <v>0</v>
      </c>
      <c r="M249" s="12">
        <f t="shared" si="318"/>
        <v>0</v>
      </c>
      <c r="N249" s="13">
        <f t="shared" si="319"/>
        <v>0</v>
      </c>
      <c r="O249" s="13">
        <f t="shared" si="320"/>
        <v>0</v>
      </c>
      <c r="P249" s="13">
        <f t="shared" si="321"/>
        <v>0</v>
      </c>
      <c r="Q249" s="13">
        <f t="shared" si="322"/>
        <v>0</v>
      </c>
      <c r="R249" s="13">
        <f t="shared" si="323"/>
        <v>0</v>
      </c>
      <c r="S249" s="13">
        <f t="shared" si="324"/>
        <v>0</v>
      </c>
      <c r="T249" s="13">
        <f t="shared" si="325"/>
        <v>0</v>
      </c>
      <c r="U249" s="13">
        <f t="shared" si="326"/>
        <v>0</v>
      </c>
      <c r="V249" s="13">
        <f t="shared" si="327"/>
        <v>0</v>
      </c>
      <c r="W249" s="14">
        <f t="shared" si="328"/>
        <v>0</v>
      </c>
      <c r="X249" s="154"/>
    </row>
    <row r="250" spans="2:24" s="138" customFormat="1" ht="14.25" customHeight="1" x14ac:dyDescent="0.25">
      <c r="B250" s="259"/>
      <c r="C250" s="260"/>
      <c r="D250" s="261"/>
      <c r="E250" s="261"/>
      <c r="F250" s="262"/>
      <c r="G250" s="261"/>
      <c r="H250" s="263"/>
      <c r="I250" s="8">
        <f t="shared" ref="I250" ca="1" si="344">IF(AND(F250="anual",MONTH(B250)&lt;&gt;$D$2),0,IF(OR(J250=0,J250="TOTALMENTE PAGA"),0,H250))</f>
        <v>0</v>
      </c>
      <c r="J250" s="9" t="str">
        <f t="shared" ref="J250" si="345">IF(OR(G250=0,B250=0,F250=0),"INSERIR DATAS E TOT PARC",IF(OR(F250="mensal",F250="anual"),IF(F250="anual",IF(OR(AND((MONTH(B250)=MONTH($A$2)),(DAY(B250)&gt;DAY($A$2))),AND((MONTH(B250)-1=MONTH($A$2)),(DAY(B250)&lt;=DAY($A$2)))),1,0),1),IF(B250&gt;G250,"DATAS INVALIDAS",IF(OR($A$2&lt;EDATE(G250,-1),$A$2=EDATE(G250,-1)),0,IF(OR($A$2&lt;G250,$A$2=G250),1,IF(DAY($A$2)&lt;5,IF(((YEAR($A$2)-YEAR(G250))*12+(MONTH($A$2)-MONTH(G250)+1))&gt;F250,"TOTALMENTE PAGA",(YEAR($A$2)-YEAR(G250))*12+(MONTH($A$2)-MONTH(G250)+1)),IF(($A$2&gt;K250),"TOTALMENTE PAGA",(YEAR($A$2)-YEAR(G250))*12+(MONTH($A$2)-MONTH(G250)+2))))))))</f>
        <v>INSERIR DATAS E TOT PARC</v>
      </c>
      <c r="K250" s="10" t="str">
        <f t="shared" ref="K250" si="346">IF(OR(F250="anual",F250="mensal",B250=0),"---",EDATE(G250,F250-1))</f>
        <v>---</v>
      </c>
      <c r="L250" s="11">
        <f t="shared" ref="L250" si="347">IF(OR(F250="mensal",F250="anual"),IF(J250=1,H250,0),IF(H250=0,0,IF(J250="TOTALMENTE PAGA",0,(F250-J250)*H250)))</f>
        <v>0</v>
      </c>
      <c r="M250" s="12">
        <f t="shared" ref="M250" si="348">IF(F250="anual",IF(MONTH(B250)=$M$3,H250,0),IF(F250="mensal",I250,IF(K250="---",0,IF($M$2&lt;YEAR(K250),H250,IF($M$2=YEAR(K250),IF(OR($M$3&lt;MONTH(K250),$M$3=MONTH(K250)),H250,0),0)))))</f>
        <v>0</v>
      </c>
      <c r="N250" s="13">
        <f t="shared" ref="N250" si="349">IF(F250="anual",IF(MONTH(B250)=$N$3,H250,0),IF(F250="mensal",I250,IF(K250="---",0,IF($N$2&lt;YEAR(K250),H250,IF($N$2=YEAR(K250),IF(OR($N$3&lt;MONTH(K250),$N$3=MONTH(K250)),H250,0),0)))))</f>
        <v>0</v>
      </c>
      <c r="O250" s="13">
        <f t="shared" ref="O250" si="350">IF(F250="anual",IF(MONTH(B250)=$O$3,H250,0),IF(F250="mensal",I250,IF(K250="---",0,IF($O$2&lt;YEAR(K250),H250,IF($O$2=YEAR(K250),IF(OR($O$3&lt;MONTH(K250),$O$3=MONTH(K250)),H250,0),0)))))</f>
        <v>0</v>
      </c>
      <c r="P250" s="13">
        <f t="shared" ref="P250" si="351">IF(F250="anual",IF(MONTH(B250)=$P$3,H250,0),IF(F250="mensal",I250,IF(K250="---",0,IF($P$2&lt;YEAR(K250),H250,IF($P$2=YEAR(K250),IF(OR($P$3&lt;MONTH(K250),$P$3=MONTH(K250)),H250,0),0)))))</f>
        <v>0</v>
      </c>
      <c r="Q250" s="13">
        <f t="shared" ref="Q250" si="352">IF(F250="anual",IF(MONTH(B250)=$Q$3,H250,0),IF(F250="mensal",I250,IF(K250="---",0,IF($Q$2&lt;YEAR(K250),H250,IF($Q$2=YEAR(K250),IF(OR($Q$3&lt;MONTH(K250),$Q$3=MONTH(K250)),H250,0),0)))))</f>
        <v>0</v>
      </c>
      <c r="R250" s="13">
        <f t="shared" ref="R250" si="353">IF(F250="anual",IF(MONTH(B250)=$R$3,H250,0),IF(F250="mensal",I250,IF(K250="---",0,IF($R$2&lt;YEAR(K250),H250,IF($R$2=YEAR(K250),IF(OR($R$3&lt;MONTH(K250),$R$3=MONTH(K250)),H250,0),0)))))</f>
        <v>0</v>
      </c>
      <c r="S250" s="13">
        <f t="shared" ref="S250" si="354">IF(F250="anual",IF(MONTH(B250)=$S$3,H250,0),IF(F250="mensal",I250,IF(K250="---",0,IF($S$2&lt;YEAR(K250),H250,IF($S$2=YEAR(K250),IF(OR($S$3&lt;MONTH(K250),$S$3=MONTH(K250)),H250,0),0)))))</f>
        <v>0</v>
      </c>
      <c r="T250" s="13">
        <f t="shared" ref="T250" si="355">IF(F250="anual",IF(MONTH(B250)=$T$3,H250,0),IF(F250="mensal",I250,IF(K250="---",0,IF($T$2&lt;YEAR(K250),H250,IF($T$2=YEAR(K250),IF(OR($T$3&lt;MONTH(K250),$T$3=MONTH(K250)),H250,0),0)))))</f>
        <v>0</v>
      </c>
      <c r="U250" s="13">
        <f t="shared" ref="U250" si="356">IF(F250="anual",IF(MONTH(B250)=$U$3,H250,0),IF(F250="mensal",I250,IF(K250="---",0,IF($U$2&lt;YEAR(K250),H250,IF($U$2=YEAR(K250),IF(OR($U$3&lt;MONTH(K250),$U$3=MONTH(K250)),H250,0),0)))))</f>
        <v>0</v>
      </c>
      <c r="V250" s="13">
        <f t="shared" ref="V250" si="357">IF(F250="anual",IF(MONTH(B250)=$V$3,H250,0),IF(F250="mensal",I250,IF(K250="---",0,IF($V$2&lt;YEAR(K250),H250,IF($V$2=YEAR(K250),IF(OR($V$3&lt;MONTH(K250),$V$3=MONTH(K250)),H250,0),0)))))</f>
        <v>0</v>
      </c>
      <c r="W250" s="14">
        <f t="shared" ref="W250" si="358">IF(F250="anual",IF(MONTH(B250)=$W$3,H250,0),IF(F250="mensal",I250,IF(K250="---",0,IF($W$2&lt;YEAR(K250),H250,IF($W$2=YEAR(K250),IF(OR($W$3&lt;MONTH(K250),$W$3=MONTH(K250)),H250,0),0)))))</f>
        <v>0</v>
      </c>
      <c r="X250" s="154"/>
    </row>
    <row r="251" spans="2:24" s="142" customFormat="1" ht="14.25" customHeight="1" x14ac:dyDescent="0.25">
      <c r="B251" s="259"/>
      <c r="C251" s="260"/>
      <c r="D251" s="261"/>
      <c r="E251" s="261"/>
      <c r="F251" s="262"/>
      <c r="G251" s="261"/>
      <c r="H251" s="263"/>
      <c r="I251" s="8">
        <f t="shared" ref="I251:I260" ca="1" si="359">IF(AND(F251="anual",MONTH(B251)&lt;&gt;$D$2),0,IF(OR(J251=0,J251="TOTALMENTE PAGA"),0,H251))</f>
        <v>0</v>
      </c>
      <c r="J251" s="9" t="str">
        <f t="shared" ref="J251:J260" si="360">IF(OR(G251=0,B251=0,F251=0),"INSERIR DATAS E TOT PARC",IF(OR(F251="mensal",F251="anual"),IF(F251="anual",IF(OR(AND((MONTH(B251)=MONTH($A$2)),(DAY(B251)&gt;DAY($A$2))),AND((MONTH(B251)-1=MONTH($A$2)),(DAY(B251)&lt;=DAY($A$2)))),1,0),1),IF(B251&gt;G251,"DATAS INVALIDAS",IF(OR($A$2&lt;EDATE(G251,-1),$A$2=EDATE(G251,-1)),0,IF(OR($A$2&lt;G251,$A$2=G251),1,IF(DAY($A$2)&lt;5,IF(((YEAR($A$2)-YEAR(G251))*12+(MONTH($A$2)-MONTH(G251)+1))&gt;F251,"TOTALMENTE PAGA",(YEAR($A$2)-YEAR(G251))*12+(MONTH($A$2)-MONTH(G251)+1)),IF(($A$2&gt;K251),"TOTALMENTE PAGA",(YEAR($A$2)-YEAR(G251))*12+(MONTH($A$2)-MONTH(G251)+2))))))))</f>
        <v>INSERIR DATAS E TOT PARC</v>
      </c>
      <c r="K251" s="10" t="str">
        <f t="shared" ref="K251:K260" si="361">IF(OR(F251="anual",F251="mensal",B251=0),"---",EDATE(G251,F251-1))</f>
        <v>---</v>
      </c>
      <c r="L251" s="11">
        <f t="shared" ref="L251:L260" si="362">IF(OR(F251="mensal",F251="anual"),IF(J251=1,H251,0),IF(H251=0,0,IF(J251="TOTALMENTE PAGA",0,(F251-J251)*H251)))</f>
        <v>0</v>
      </c>
      <c r="M251" s="12">
        <f t="shared" ref="M251:M260" si="363">IF(F251="anual",IF(MONTH(B251)=$M$3,H251,0),IF(F251="mensal",I251,IF(K251="---",0,IF($M$2&lt;YEAR(K251),H251,IF($M$2=YEAR(K251),IF(OR($M$3&lt;MONTH(K251),$M$3=MONTH(K251)),H251,0),0)))))</f>
        <v>0</v>
      </c>
      <c r="N251" s="13">
        <f t="shared" ref="N251:N260" si="364">IF(F251="anual",IF(MONTH(B251)=$N$3,H251,0),IF(F251="mensal",I251,IF(K251="---",0,IF($N$2&lt;YEAR(K251),H251,IF($N$2=YEAR(K251),IF(OR($N$3&lt;MONTH(K251),$N$3=MONTH(K251)),H251,0),0)))))</f>
        <v>0</v>
      </c>
      <c r="O251" s="13">
        <f t="shared" ref="O251:O260" si="365">IF(F251="anual",IF(MONTH(B251)=$O$3,H251,0),IF(F251="mensal",I251,IF(K251="---",0,IF($O$2&lt;YEAR(K251),H251,IF($O$2=YEAR(K251),IF(OR($O$3&lt;MONTH(K251),$O$3=MONTH(K251)),H251,0),0)))))</f>
        <v>0</v>
      </c>
      <c r="P251" s="13">
        <f t="shared" ref="P251:P260" si="366">IF(F251="anual",IF(MONTH(B251)=$P$3,H251,0),IF(F251="mensal",I251,IF(K251="---",0,IF($P$2&lt;YEAR(K251),H251,IF($P$2=YEAR(K251),IF(OR($P$3&lt;MONTH(K251),$P$3=MONTH(K251)),H251,0),0)))))</f>
        <v>0</v>
      </c>
      <c r="Q251" s="13">
        <f t="shared" ref="Q251:Q260" si="367">IF(F251="anual",IF(MONTH(B251)=$Q$3,H251,0),IF(F251="mensal",I251,IF(K251="---",0,IF($Q$2&lt;YEAR(K251),H251,IF($Q$2=YEAR(K251),IF(OR($Q$3&lt;MONTH(K251),$Q$3=MONTH(K251)),H251,0),0)))))</f>
        <v>0</v>
      </c>
      <c r="R251" s="13">
        <f t="shared" ref="R251:R260" si="368">IF(F251="anual",IF(MONTH(B251)=$R$3,H251,0),IF(F251="mensal",I251,IF(K251="---",0,IF($R$2&lt;YEAR(K251),H251,IF($R$2=YEAR(K251),IF(OR($R$3&lt;MONTH(K251),$R$3=MONTH(K251)),H251,0),0)))))</f>
        <v>0</v>
      </c>
      <c r="S251" s="13">
        <f t="shared" ref="S251:S260" si="369">IF(F251="anual",IF(MONTH(B251)=$S$3,H251,0),IF(F251="mensal",I251,IF(K251="---",0,IF($S$2&lt;YEAR(K251),H251,IF($S$2=YEAR(K251),IF(OR($S$3&lt;MONTH(K251),$S$3=MONTH(K251)),H251,0),0)))))</f>
        <v>0</v>
      </c>
      <c r="T251" s="13">
        <f t="shared" ref="T251:T260" si="370">IF(F251="anual",IF(MONTH(B251)=$T$3,H251,0),IF(F251="mensal",I251,IF(K251="---",0,IF($T$2&lt;YEAR(K251),H251,IF($T$2=YEAR(K251),IF(OR($T$3&lt;MONTH(K251),$T$3=MONTH(K251)),H251,0),0)))))</f>
        <v>0</v>
      </c>
      <c r="U251" s="13">
        <f t="shared" ref="U251:U260" si="371">IF(F251="anual",IF(MONTH(B251)=$U$3,H251,0),IF(F251="mensal",I251,IF(K251="---",0,IF($U$2&lt;YEAR(K251),H251,IF($U$2=YEAR(K251),IF(OR($U$3&lt;MONTH(K251),$U$3=MONTH(K251)),H251,0),0)))))</f>
        <v>0</v>
      </c>
      <c r="V251" s="13">
        <f t="shared" ref="V251:V260" si="372">IF(F251="anual",IF(MONTH(B251)=$V$3,H251,0),IF(F251="mensal",I251,IF(K251="---",0,IF($V$2&lt;YEAR(K251),H251,IF($V$2=YEAR(K251),IF(OR($V$3&lt;MONTH(K251),$V$3=MONTH(K251)),H251,0),0)))))</f>
        <v>0</v>
      </c>
      <c r="W251" s="14">
        <f t="shared" ref="W251:W260" si="373">IF(F251="anual",IF(MONTH(B251)=$W$3,H251,0),IF(F251="mensal",I251,IF(K251="---",0,IF($W$2&lt;YEAR(K251),H251,IF($W$2=YEAR(K251),IF(OR($W$3&lt;MONTH(K251),$W$3=MONTH(K251)),H251,0),0)))))</f>
        <v>0</v>
      </c>
      <c r="X251" s="154"/>
    </row>
    <row r="252" spans="2:24" s="142" customFormat="1" ht="14.25" customHeight="1" x14ac:dyDescent="0.25">
      <c r="B252" s="259"/>
      <c r="C252" s="260"/>
      <c r="D252" s="261"/>
      <c r="E252" s="261"/>
      <c r="F252" s="262"/>
      <c r="G252" s="261"/>
      <c r="H252" s="263"/>
      <c r="I252" s="8">
        <f t="shared" ca="1" si="359"/>
        <v>0</v>
      </c>
      <c r="J252" s="9" t="str">
        <f t="shared" si="360"/>
        <v>INSERIR DATAS E TOT PARC</v>
      </c>
      <c r="K252" s="10" t="str">
        <f t="shared" si="361"/>
        <v>---</v>
      </c>
      <c r="L252" s="11">
        <f t="shared" si="362"/>
        <v>0</v>
      </c>
      <c r="M252" s="12">
        <f t="shared" si="363"/>
        <v>0</v>
      </c>
      <c r="N252" s="13">
        <f t="shared" si="364"/>
        <v>0</v>
      </c>
      <c r="O252" s="13">
        <f t="shared" si="365"/>
        <v>0</v>
      </c>
      <c r="P252" s="13">
        <f t="shared" si="366"/>
        <v>0</v>
      </c>
      <c r="Q252" s="13">
        <f t="shared" si="367"/>
        <v>0</v>
      </c>
      <c r="R252" s="13">
        <f t="shared" si="368"/>
        <v>0</v>
      </c>
      <c r="S252" s="13">
        <f t="shared" si="369"/>
        <v>0</v>
      </c>
      <c r="T252" s="13">
        <f t="shared" si="370"/>
        <v>0</v>
      </c>
      <c r="U252" s="13">
        <f t="shared" si="371"/>
        <v>0</v>
      </c>
      <c r="V252" s="13">
        <f t="shared" si="372"/>
        <v>0</v>
      </c>
      <c r="W252" s="14">
        <f t="shared" si="373"/>
        <v>0</v>
      </c>
      <c r="X252" s="154"/>
    </row>
    <row r="253" spans="2:24" s="142" customFormat="1" ht="14.25" customHeight="1" x14ac:dyDescent="0.25">
      <c r="B253" s="259"/>
      <c r="C253" s="260"/>
      <c r="D253" s="261"/>
      <c r="E253" s="261"/>
      <c r="F253" s="262"/>
      <c r="G253" s="261"/>
      <c r="H253" s="263"/>
      <c r="I253" s="8">
        <f t="shared" ca="1" si="359"/>
        <v>0</v>
      </c>
      <c r="J253" s="9" t="str">
        <f t="shared" si="360"/>
        <v>INSERIR DATAS E TOT PARC</v>
      </c>
      <c r="K253" s="10" t="str">
        <f t="shared" si="361"/>
        <v>---</v>
      </c>
      <c r="L253" s="11">
        <f t="shared" si="362"/>
        <v>0</v>
      </c>
      <c r="M253" s="12">
        <f t="shared" si="363"/>
        <v>0</v>
      </c>
      <c r="N253" s="13">
        <f t="shared" si="364"/>
        <v>0</v>
      </c>
      <c r="O253" s="13">
        <f t="shared" si="365"/>
        <v>0</v>
      </c>
      <c r="P253" s="13">
        <f t="shared" si="366"/>
        <v>0</v>
      </c>
      <c r="Q253" s="13">
        <f t="shared" si="367"/>
        <v>0</v>
      </c>
      <c r="R253" s="13">
        <f t="shared" si="368"/>
        <v>0</v>
      </c>
      <c r="S253" s="13">
        <f t="shared" si="369"/>
        <v>0</v>
      </c>
      <c r="T253" s="13">
        <f t="shared" si="370"/>
        <v>0</v>
      </c>
      <c r="U253" s="13">
        <f t="shared" si="371"/>
        <v>0</v>
      </c>
      <c r="V253" s="13">
        <f t="shared" si="372"/>
        <v>0</v>
      </c>
      <c r="W253" s="14">
        <f t="shared" si="373"/>
        <v>0</v>
      </c>
      <c r="X253" s="154"/>
    </row>
    <row r="254" spans="2:24" s="142" customFormat="1" ht="14.25" customHeight="1" x14ac:dyDescent="0.25">
      <c r="B254" s="259"/>
      <c r="C254" s="260"/>
      <c r="D254" s="261"/>
      <c r="E254" s="261"/>
      <c r="F254" s="262"/>
      <c r="G254" s="261"/>
      <c r="H254" s="263"/>
      <c r="I254" s="8">
        <f t="shared" ca="1" si="359"/>
        <v>0</v>
      </c>
      <c r="J254" s="9" t="str">
        <f t="shared" si="360"/>
        <v>INSERIR DATAS E TOT PARC</v>
      </c>
      <c r="K254" s="10" t="str">
        <f t="shared" si="361"/>
        <v>---</v>
      </c>
      <c r="L254" s="11">
        <f t="shared" si="362"/>
        <v>0</v>
      </c>
      <c r="M254" s="12">
        <f t="shared" si="363"/>
        <v>0</v>
      </c>
      <c r="N254" s="13">
        <f t="shared" si="364"/>
        <v>0</v>
      </c>
      <c r="O254" s="13">
        <f t="shared" si="365"/>
        <v>0</v>
      </c>
      <c r="P254" s="13">
        <f t="shared" si="366"/>
        <v>0</v>
      </c>
      <c r="Q254" s="13">
        <f t="shared" si="367"/>
        <v>0</v>
      </c>
      <c r="R254" s="13">
        <f t="shared" si="368"/>
        <v>0</v>
      </c>
      <c r="S254" s="13">
        <f t="shared" si="369"/>
        <v>0</v>
      </c>
      <c r="T254" s="13">
        <f t="shared" si="370"/>
        <v>0</v>
      </c>
      <c r="U254" s="13">
        <f t="shared" si="371"/>
        <v>0</v>
      </c>
      <c r="V254" s="13">
        <f t="shared" si="372"/>
        <v>0</v>
      </c>
      <c r="W254" s="14">
        <f t="shared" si="373"/>
        <v>0</v>
      </c>
      <c r="X254" s="154"/>
    </row>
    <row r="255" spans="2:24" s="142" customFormat="1" ht="14.25" customHeight="1" x14ac:dyDescent="0.25">
      <c r="B255" s="259"/>
      <c r="C255" s="260"/>
      <c r="D255" s="261"/>
      <c r="E255" s="261"/>
      <c r="F255" s="262"/>
      <c r="G255" s="261"/>
      <c r="H255" s="263"/>
      <c r="I255" s="8">
        <f t="shared" ca="1" si="359"/>
        <v>0</v>
      </c>
      <c r="J255" s="9" t="str">
        <f t="shared" si="360"/>
        <v>INSERIR DATAS E TOT PARC</v>
      </c>
      <c r="K255" s="10" t="str">
        <f t="shared" si="361"/>
        <v>---</v>
      </c>
      <c r="L255" s="11">
        <f t="shared" si="362"/>
        <v>0</v>
      </c>
      <c r="M255" s="12">
        <f t="shared" si="363"/>
        <v>0</v>
      </c>
      <c r="N255" s="13">
        <f t="shared" si="364"/>
        <v>0</v>
      </c>
      <c r="O255" s="13">
        <f t="shared" si="365"/>
        <v>0</v>
      </c>
      <c r="P255" s="13">
        <f t="shared" si="366"/>
        <v>0</v>
      </c>
      <c r="Q255" s="13">
        <f t="shared" si="367"/>
        <v>0</v>
      </c>
      <c r="R255" s="13">
        <f t="shared" si="368"/>
        <v>0</v>
      </c>
      <c r="S255" s="13">
        <f t="shared" si="369"/>
        <v>0</v>
      </c>
      <c r="T255" s="13">
        <f t="shared" si="370"/>
        <v>0</v>
      </c>
      <c r="U255" s="13">
        <f t="shared" si="371"/>
        <v>0</v>
      </c>
      <c r="V255" s="13">
        <f t="shared" si="372"/>
        <v>0</v>
      </c>
      <c r="W255" s="14">
        <f t="shared" si="373"/>
        <v>0</v>
      </c>
      <c r="X255" s="154"/>
    </row>
    <row r="256" spans="2:24" s="142" customFormat="1" ht="14.25" customHeight="1" x14ac:dyDescent="0.25">
      <c r="B256" s="259"/>
      <c r="C256" s="260"/>
      <c r="D256" s="261"/>
      <c r="E256" s="261"/>
      <c r="F256" s="262"/>
      <c r="G256" s="261"/>
      <c r="H256" s="263"/>
      <c r="I256" s="8">
        <f t="shared" ca="1" si="359"/>
        <v>0</v>
      </c>
      <c r="J256" s="9" t="str">
        <f t="shared" si="360"/>
        <v>INSERIR DATAS E TOT PARC</v>
      </c>
      <c r="K256" s="10" t="str">
        <f t="shared" si="361"/>
        <v>---</v>
      </c>
      <c r="L256" s="11">
        <f t="shared" si="362"/>
        <v>0</v>
      </c>
      <c r="M256" s="12">
        <f t="shared" si="363"/>
        <v>0</v>
      </c>
      <c r="N256" s="13">
        <f t="shared" si="364"/>
        <v>0</v>
      </c>
      <c r="O256" s="13">
        <f t="shared" si="365"/>
        <v>0</v>
      </c>
      <c r="P256" s="13">
        <f t="shared" si="366"/>
        <v>0</v>
      </c>
      <c r="Q256" s="13">
        <f t="shared" si="367"/>
        <v>0</v>
      </c>
      <c r="R256" s="13">
        <f t="shared" si="368"/>
        <v>0</v>
      </c>
      <c r="S256" s="13">
        <f t="shared" si="369"/>
        <v>0</v>
      </c>
      <c r="T256" s="13">
        <f t="shared" si="370"/>
        <v>0</v>
      </c>
      <c r="U256" s="13">
        <f t="shared" si="371"/>
        <v>0</v>
      </c>
      <c r="V256" s="13">
        <f t="shared" si="372"/>
        <v>0</v>
      </c>
      <c r="W256" s="14">
        <f t="shared" si="373"/>
        <v>0</v>
      </c>
      <c r="X256" s="154"/>
    </row>
    <row r="257" spans="2:25" s="142" customFormat="1" ht="14.25" customHeight="1" x14ac:dyDescent="0.25">
      <c r="B257" s="259"/>
      <c r="C257" s="260"/>
      <c r="D257" s="261"/>
      <c r="E257" s="261"/>
      <c r="F257" s="262"/>
      <c r="G257" s="261"/>
      <c r="H257" s="263"/>
      <c r="I257" s="8">
        <f t="shared" ca="1" si="359"/>
        <v>0</v>
      </c>
      <c r="J257" s="9" t="str">
        <f t="shared" si="360"/>
        <v>INSERIR DATAS E TOT PARC</v>
      </c>
      <c r="K257" s="10" t="str">
        <f t="shared" si="361"/>
        <v>---</v>
      </c>
      <c r="L257" s="11">
        <f t="shared" si="362"/>
        <v>0</v>
      </c>
      <c r="M257" s="12">
        <f t="shared" si="363"/>
        <v>0</v>
      </c>
      <c r="N257" s="13">
        <f t="shared" si="364"/>
        <v>0</v>
      </c>
      <c r="O257" s="13">
        <f t="shared" si="365"/>
        <v>0</v>
      </c>
      <c r="P257" s="13">
        <f t="shared" si="366"/>
        <v>0</v>
      </c>
      <c r="Q257" s="13">
        <f t="shared" si="367"/>
        <v>0</v>
      </c>
      <c r="R257" s="13">
        <f t="shared" si="368"/>
        <v>0</v>
      </c>
      <c r="S257" s="13">
        <f t="shared" si="369"/>
        <v>0</v>
      </c>
      <c r="T257" s="13">
        <f t="shared" si="370"/>
        <v>0</v>
      </c>
      <c r="U257" s="13">
        <f t="shared" si="371"/>
        <v>0</v>
      </c>
      <c r="V257" s="13">
        <f t="shared" si="372"/>
        <v>0</v>
      </c>
      <c r="W257" s="14">
        <f t="shared" si="373"/>
        <v>0</v>
      </c>
      <c r="X257" s="154"/>
    </row>
    <row r="258" spans="2:25" s="142" customFormat="1" ht="14.25" customHeight="1" x14ac:dyDescent="0.25">
      <c r="B258" s="259"/>
      <c r="C258" s="260"/>
      <c r="D258" s="261"/>
      <c r="E258" s="261"/>
      <c r="F258" s="262"/>
      <c r="G258" s="261"/>
      <c r="H258" s="263"/>
      <c r="I258" s="8">
        <f t="shared" ca="1" si="359"/>
        <v>0</v>
      </c>
      <c r="J258" s="9" t="str">
        <f t="shared" si="360"/>
        <v>INSERIR DATAS E TOT PARC</v>
      </c>
      <c r="K258" s="10" t="str">
        <f t="shared" si="361"/>
        <v>---</v>
      </c>
      <c r="L258" s="11">
        <f t="shared" si="362"/>
        <v>0</v>
      </c>
      <c r="M258" s="12">
        <f t="shared" si="363"/>
        <v>0</v>
      </c>
      <c r="N258" s="13">
        <f t="shared" si="364"/>
        <v>0</v>
      </c>
      <c r="O258" s="13">
        <f t="shared" si="365"/>
        <v>0</v>
      </c>
      <c r="P258" s="13">
        <f t="shared" si="366"/>
        <v>0</v>
      </c>
      <c r="Q258" s="13">
        <f t="shared" si="367"/>
        <v>0</v>
      </c>
      <c r="R258" s="13">
        <f t="shared" si="368"/>
        <v>0</v>
      </c>
      <c r="S258" s="13">
        <f t="shared" si="369"/>
        <v>0</v>
      </c>
      <c r="T258" s="13">
        <f t="shared" si="370"/>
        <v>0</v>
      </c>
      <c r="U258" s="13">
        <f t="shared" si="371"/>
        <v>0</v>
      </c>
      <c r="V258" s="13">
        <f t="shared" si="372"/>
        <v>0</v>
      </c>
      <c r="W258" s="14">
        <f t="shared" si="373"/>
        <v>0</v>
      </c>
      <c r="X258" s="154"/>
    </row>
    <row r="259" spans="2:25" s="142" customFormat="1" ht="14.25" customHeight="1" x14ac:dyDescent="0.25">
      <c r="B259" s="259"/>
      <c r="C259" s="260"/>
      <c r="D259" s="261"/>
      <c r="E259" s="261"/>
      <c r="F259" s="262"/>
      <c r="G259" s="261"/>
      <c r="H259" s="263"/>
      <c r="I259" s="8">
        <f t="shared" ca="1" si="359"/>
        <v>0</v>
      </c>
      <c r="J259" s="9" t="str">
        <f t="shared" si="360"/>
        <v>INSERIR DATAS E TOT PARC</v>
      </c>
      <c r="K259" s="10" t="str">
        <f t="shared" si="361"/>
        <v>---</v>
      </c>
      <c r="L259" s="11">
        <f t="shared" si="362"/>
        <v>0</v>
      </c>
      <c r="M259" s="12">
        <f t="shared" si="363"/>
        <v>0</v>
      </c>
      <c r="N259" s="13">
        <f t="shared" si="364"/>
        <v>0</v>
      </c>
      <c r="O259" s="13">
        <f t="shared" si="365"/>
        <v>0</v>
      </c>
      <c r="P259" s="13">
        <f t="shared" si="366"/>
        <v>0</v>
      </c>
      <c r="Q259" s="13">
        <f t="shared" si="367"/>
        <v>0</v>
      </c>
      <c r="R259" s="13">
        <f t="shared" si="368"/>
        <v>0</v>
      </c>
      <c r="S259" s="13">
        <f t="shared" si="369"/>
        <v>0</v>
      </c>
      <c r="T259" s="13">
        <f t="shared" si="370"/>
        <v>0</v>
      </c>
      <c r="U259" s="13">
        <f t="shared" si="371"/>
        <v>0</v>
      </c>
      <c r="V259" s="13">
        <f t="shared" si="372"/>
        <v>0</v>
      </c>
      <c r="W259" s="14">
        <f t="shared" si="373"/>
        <v>0</v>
      </c>
      <c r="X259" s="154"/>
    </row>
    <row r="260" spans="2:25" s="138" customFormat="1" ht="14.25" customHeight="1" x14ac:dyDescent="0.25">
      <c r="B260" s="259"/>
      <c r="C260" s="260"/>
      <c r="D260" s="261"/>
      <c r="E260" s="261"/>
      <c r="F260" s="262"/>
      <c r="G260" s="261"/>
      <c r="H260" s="263"/>
      <c r="I260" s="8">
        <f t="shared" ca="1" si="359"/>
        <v>0</v>
      </c>
      <c r="J260" s="9" t="str">
        <f t="shared" si="360"/>
        <v>INSERIR DATAS E TOT PARC</v>
      </c>
      <c r="K260" s="10" t="str">
        <f t="shared" si="361"/>
        <v>---</v>
      </c>
      <c r="L260" s="11">
        <f t="shared" si="362"/>
        <v>0</v>
      </c>
      <c r="M260" s="12">
        <f t="shared" si="363"/>
        <v>0</v>
      </c>
      <c r="N260" s="13">
        <f t="shared" si="364"/>
        <v>0</v>
      </c>
      <c r="O260" s="13">
        <f t="shared" si="365"/>
        <v>0</v>
      </c>
      <c r="P260" s="13">
        <f t="shared" si="366"/>
        <v>0</v>
      </c>
      <c r="Q260" s="13">
        <f t="shared" si="367"/>
        <v>0</v>
      </c>
      <c r="R260" s="13">
        <f t="shared" si="368"/>
        <v>0</v>
      </c>
      <c r="S260" s="13">
        <f t="shared" si="369"/>
        <v>0</v>
      </c>
      <c r="T260" s="13">
        <f t="shared" si="370"/>
        <v>0</v>
      </c>
      <c r="U260" s="13">
        <f t="shared" si="371"/>
        <v>0</v>
      </c>
      <c r="V260" s="13">
        <f t="shared" si="372"/>
        <v>0</v>
      </c>
      <c r="W260" s="14">
        <f t="shared" si="373"/>
        <v>0</v>
      </c>
      <c r="X260" s="154"/>
    </row>
    <row r="261" spans="2:25" ht="14.25" customHeight="1" thickBot="1" x14ac:dyDescent="0.3">
      <c r="B261" s="259"/>
      <c r="C261" s="260"/>
      <c r="D261" s="261"/>
      <c r="E261" s="261"/>
      <c r="F261" s="262"/>
      <c r="G261" s="261"/>
      <c r="H261" s="263"/>
      <c r="I261" s="8">
        <f t="shared" ca="1" si="300"/>
        <v>0</v>
      </c>
      <c r="J261" s="9" t="str">
        <f t="shared" si="297"/>
        <v>INSERIR DATAS E TOT PARC</v>
      </c>
      <c r="K261" s="10" t="str">
        <f t="shared" si="301"/>
        <v>---</v>
      </c>
      <c r="L261" s="11">
        <f t="shared" si="302"/>
        <v>0</v>
      </c>
      <c r="M261" s="12">
        <f t="shared" si="303"/>
        <v>0</v>
      </c>
      <c r="N261" s="13">
        <f t="shared" si="304"/>
        <v>0</v>
      </c>
      <c r="O261" s="13">
        <f t="shared" si="305"/>
        <v>0</v>
      </c>
      <c r="P261" s="13">
        <f t="shared" si="306"/>
        <v>0</v>
      </c>
      <c r="Q261" s="13">
        <f t="shared" si="307"/>
        <v>0</v>
      </c>
      <c r="R261" s="13">
        <f t="shared" si="308"/>
        <v>0</v>
      </c>
      <c r="S261" s="13">
        <f t="shared" si="309"/>
        <v>0</v>
      </c>
      <c r="T261" s="13">
        <f t="shared" si="310"/>
        <v>0</v>
      </c>
      <c r="U261" s="13">
        <f t="shared" si="311"/>
        <v>0</v>
      </c>
      <c r="V261" s="13">
        <f t="shared" si="312"/>
        <v>0</v>
      </c>
      <c r="W261" s="14">
        <f t="shared" si="313"/>
        <v>0</v>
      </c>
      <c r="X261" s="154"/>
    </row>
    <row r="262" spans="2:25" ht="15.75" customHeight="1" thickBot="1" x14ac:dyDescent="0.3">
      <c r="B262" s="346" t="s">
        <v>19</v>
      </c>
      <c r="C262" s="343"/>
      <c r="D262" s="347"/>
      <c r="E262" s="17">
        <f>MAX(K229:K261)</f>
        <v>44716</v>
      </c>
      <c r="F262" s="330" t="s">
        <v>177</v>
      </c>
      <c r="G262" s="331"/>
      <c r="H262" s="332"/>
      <c r="I262" s="324">
        <f ca="1">IF(OR((J262&lt;$A$2),(J262=$A$2)),IF(($D$2-MONTH(J262))=0,0,IF(AND($D$2-MONTH(J262)=1,DAY(J262)&lt;32,DAY(J262)&gt;4),0,SUM(I229:I261))),"DT PAG &gt; DT HJ")</f>
        <v>900</v>
      </c>
      <c r="J262" s="225">
        <v>44621</v>
      </c>
      <c r="K262" s="19" t="s">
        <v>20</v>
      </c>
      <c r="L262" s="20">
        <f ca="1">SUM(L229:L261)+I262</f>
        <v>2700</v>
      </c>
      <c r="M262" s="25">
        <f t="shared" ref="M262:W262" ca="1" si="374">SUM(M229:M261)</f>
        <v>900</v>
      </c>
      <c r="N262" s="26">
        <f t="shared" ca="1" si="374"/>
        <v>900</v>
      </c>
      <c r="O262" s="26">
        <f t="shared" ca="1" si="374"/>
        <v>0</v>
      </c>
      <c r="P262" s="26">
        <f t="shared" ca="1" si="374"/>
        <v>0</v>
      </c>
      <c r="Q262" s="26">
        <f t="shared" ca="1" si="374"/>
        <v>0</v>
      </c>
      <c r="R262" s="26">
        <f t="shared" ca="1" si="374"/>
        <v>0</v>
      </c>
      <c r="S262" s="26">
        <f t="shared" ca="1" si="374"/>
        <v>0</v>
      </c>
      <c r="T262" s="26">
        <f t="shared" ca="1" si="374"/>
        <v>0</v>
      </c>
      <c r="U262" s="26">
        <f t="shared" ca="1" si="374"/>
        <v>0</v>
      </c>
      <c r="V262" s="26">
        <f t="shared" ca="1" si="374"/>
        <v>0</v>
      </c>
      <c r="W262" s="27">
        <f t="shared" ca="1" si="374"/>
        <v>0</v>
      </c>
      <c r="X262" s="21">
        <f ca="1">SUM(M262:W262)</f>
        <v>1800</v>
      </c>
      <c r="Y262" s="76"/>
    </row>
    <row r="263" spans="2:25" ht="15.75" customHeight="1" thickBot="1" x14ac:dyDescent="0.3">
      <c r="B263" s="109"/>
      <c r="C263" s="110"/>
      <c r="D263" s="110"/>
      <c r="E263" s="110"/>
      <c r="F263" s="141"/>
      <c r="G263" s="110"/>
      <c r="H263" s="145"/>
      <c r="I263" s="136"/>
      <c r="J263" s="226" t="s">
        <v>21</v>
      </c>
      <c r="K263" s="5"/>
      <c r="L263" s="24"/>
      <c r="M263" s="155">
        <f ca="1">IFERROR(M262/M$264,0)</f>
        <v>0.69230769230769229</v>
      </c>
      <c r="N263" s="156">
        <f t="shared" ref="N263:W263" ca="1" si="375">IFERROR(N262/N$264,0)</f>
        <v>0.69230769230769229</v>
      </c>
      <c r="O263" s="156">
        <f t="shared" ca="1" si="375"/>
        <v>0</v>
      </c>
      <c r="P263" s="156">
        <f t="shared" ca="1" si="375"/>
        <v>0</v>
      </c>
      <c r="Q263" s="156">
        <f t="shared" ca="1" si="375"/>
        <v>0</v>
      </c>
      <c r="R263" s="156">
        <f t="shared" ca="1" si="375"/>
        <v>0</v>
      </c>
      <c r="S263" s="156">
        <f t="shared" ca="1" si="375"/>
        <v>0</v>
      </c>
      <c r="T263" s="156">
        <f t="shared" ca="1" si="375"/>
        <v>0</v>
      </c>
      <c r="U263" s="156">
        <f t="shared" ca="1" si="375"/>
        <v>0</v>
      </c>
      <c r="V263" s="156">
        <f t="shared" ca="1" si="375"/>
        <v>0</v>
      </c>
      <c r="W263" s="157">
        <f t="shared" ca="1" si="375"/>
        <v>0</v>
      </c>
      <c r="X263" s="154"/>
    </row>
    <row r="264" spans="2:25" ht="15.75" customHeight="1" thickBot="1" x14ac:dyDescent="0.3">
      <c r="B264" s="371" t="s">
        <v>22</v>
      </c>
      <c r="C264" s="372"/>
      <c r="D264" s="372"/>
      <c r="E264" s="372"/>
      <c r="F264" s="372"/>
      <c r="G264" s="372"/>
      <c r="H264" s="373"/>
      <c r="I264" s="114">
        <f ca="1">SUM(I45,I76,I105,I151,I200,I226,I262)</f>
        <v>1300</v>
      </c>
      <c r="J264" s="29">
        <f>MAX(E45,E76,E105,E151,E200,E226,E262)</f>
        <v>44716</v>
      </c>
      <c r="K264" s="19" t="s">
        <v>20</v>
      </c>
      <c r="L264" s="28">
        <f ca="1">SUM(L45,L76,L105,L151,L200,L226,L262)</f>
        <v>3500</v>
      </c>
      <c r="M264" s="158">
        <f t="shared" ref="M264:X264" ca="1" si="376">M45+M76+M105+M151+M200+M226+M262</f>
        <v>1300</v>
      </c>
      <c r="N264" s="159">
        <f t="shared" ca="1" si="376"/>
        <v>1300</v>
      </c>
      <c r="O264" s="159">
        <f t="shared" ca="1" si="376"/>
        <v>400</v>
      </c>
      <c r="P264" s="159">
        <f t="shared" ca="1" si="376"/>
        <v>400</v>
      </c>
      <c r="Q264" s="159">
        <f t="shared" ca="1" si="376"/>
        <v>400</v>
      </c>
      <c r="R264" s="159">
        <f t="shared" ca="1" si="376"/>
        <v>400</v>
      </c>
      <c r="S264" s="159">
        <f t="shared" ca="1" si="376"/>
        <v>400</v>
      </c>
      <c r="T264" s="159">
        <f t="shared" ca="1" si="376"/>
        <v>489</v>
      </c>
      <c r="U264" s="159">
        <f t="shared" ca="1" si="376"/>
        <v>400</v>
      </c>
      <c r="V264" s="159">
        <f t="shared" ca="1" si="376"/>
        <v>400</v>
      </c>
      <c r="W264" s="159">
        <f t="shared" ca="1" si="376"/>
        <v>400</v>
      </c>
      <c r="X264" s="30">
        <f t="shared" ca="1" si="376"/>
        <v>6289</v>
      </c>
    </row>
    <row r="265" spans="2:25" ht="14.25" customHeight="1" thickBot="1" x14ac:dyDescent="0.3">
      <c r="B265" s="111"/>
      <c r="C265" s="112"/>
      <c r="D265" s="112"/>
      <c r="E265" s="112"/>
      <c r="F265" s="112"/>
      <c r="G265" s="112"/>
      <c r="H265" s="112"/>
      <c r="I265" s="113"/>
      <c r="J265" s="320" t="s">
        <v>113</v>
      </c>
      <c r="K265" s="316"/>
      <c r="L265" s="316"/>
      <c r="M265" s="160">
        <f ca="1">M264+$F$281</f>
        <v>4650</v>
      </c>
      <c r="N265" s="161">
        <f t="shared" ref="N265:W265" ca="1" si="377">N264+$F$281</f>
        <v>4650</v>
      </c>
      <c r="O265" s="161">
        <f t="shared" ca="1" si="377"/>
        <v>3750</v>
      </c>
      <c r="P265" s="161">
        <f t="shared" ca="1" si="377"/>
        <v>3750</v>
      </c>
      <c r="Q265" s="161">
        <f t="shared" ca="1" si="377"/>
        <v>3750</v>
      </c>
      <c r="R265" s="161">
        <f t="shared" ca="1" si="377"/>
        <v>3750</v>
      </c>
      <c r="S265" s="161">
        <f t="shared" ca="1" si="377"/>
        <v>3750</v>
      </c>
      <c r="T265" s="161">
        <f t="shared" ca="1" si="377"/>
        <v>3839</v>
      </c>
      <c r="U265" s="161">
        <f t="shared" ca="1" si="377"/>
        <v>3750</v>
      </c>
      <c r="V265" s="161">
        <f t="shared" ca="1" si="377"/>
        <v>3750</v>
      </c>
      <c r="W265" s="162">
        <f t="shared" ca="1" si="377"/>
        <v>3750</v>
      </c>
      <c r="X265" s="7" t="s">
        <v>23</v>
      </c>
    </row>
    <row r="266" spans="2:25" ht="14.25" customHeight="1" thickBot="1" x14ac:dyDescent="0.3">
      <c r="B266" s="388"/>
      <c r="C266" s="389"/>
      <c r="D266" s="390"/>
      <c r="E266" s="391" t="s">
        <v>24</v>
      </c>
      <c r="F266" s="389"/>
      <c r="G266" s="389"/>
      <c r="H266" s="390"/>
      <c r="I266" s="391"/>
      <c r="J266" s="389"/>
      <c r="K266" s="389"/>
      <c r="L266" s="392"/>
      <c r="M266" s="163">
        <f t="shared" ref="M266:W266" ca="1" si="378">$D$306-M265</f>
        <v>-2150</v>
      </c>
      <c r="N266" s="164">
        <f t="shared" ca="1" si="378"/>
        <v>-2150</v>
      </c>
      <c r="O266" s="164">
        <f ca="1">$D$306-O265</f>
        <v>-1250</v>
      </c>
      <c r="P266" s="164">
        <f t="shared" ca="1" si="378"/>
        <v>-1250</v>
      </c>
      <c r="Q266" s="164">
        <f t="shared" ca="1" si="378"/>
        <v>-1250</v>
      </c>
      <c r="R266" s="164">
        <f t="shared" ca="1" si="378"/>
        <v>-1250</v>
      </c>
      <c r="S266" s="164">
        <f t="shared" ca="1" si="378"/>
        <v>-1250</v>
      </c>
      <c r="T266" s="164">
        <f t="shared" ca="1" si="378"/>
        <v>-1339</v>
      </c>
      <c r="U266" s="164">
        <f t="shared" ca="1" si="378"/>
        <v>-1250</v>
      </c>
      <c r="V266" s="164">
        <f t="shared" ca="1" si="378"/>
        <v>-1250</v>
      </c>
      <c r="W266" s="122">
        <f t="shared" ca="1" si="378"/>
        <v>-1250</v>
      </c>
      <c r="X266" s="15" t="s">
        <v>25</v>
      </c>
    </row>
    <row r="267" spans="2:25" ht="15.75" customHeight="1" thickBot="1" x14ac:dyDescent="0.3">
      <c r="B267" s="360" t="str">
        <f ca="1">B3</f>
        <v>ABRIL</v>
      </c>
      <c r="C267" s="361"/>
      <c r="D267" s="362"/>
      <c r="E267" s="321" t="s">
        <v>3</v>
      </c>
      <c r="F267" s="322" t="s">
        <v>26</v>
      </c>
      <c r="G267" s="322" t="s">
        <v>86</v>
      </c>
      <c r="H267" s="323" t="s">
        <v>44</v>
      </c>
      <c r="I267" s="366" t="str">
        <f ca="1">B267</f>
        <v>ABRIL</v>
      </c>
      <c r="J267" s="366"/>
      <c r="K267" s="366"/>
      <c r="L267" s="36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154"/>
    </row>
    <row r="268" spans="2:25" ht="15.75" customHeight="1" x14ac:dyDescent="0.25">
      <c r="B268" s="360"/>
      <c r="C268" s="361"/>
      <c r="D268" s="362"/>
      <c r="E268" s="243" t="s">
        <v>89</v>
      </c>
      <c r="F268" s="244"/>
      <c r="G268" s="245"/>
      <c r="H268" s="246" t="s">
        <v>105</v>
      </c>
      <c r="I268" s="366"/>
      <c r="J268" s="366"/>
      <c r="K268" s="366"/>
      <c r="L268" s="36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154"/>
    </row>
    <row r="269" spans="2:25" ht="15.75" customHeight="1" x14ac:dyDescent="0.25">
      <c r="B269" s="360"/>
      <c r="C269" s="361"/>
      <c r="D269" s="362"/>
      <c r="E269" s="247" t="s">
        <v>88</v>
      </c>
      <c r="F269" s="248">
        <v>200</v>
      </c>
      <c r="G269" s="249">
        <v>200</v>
      </c>
      <c r="H269" s="249"/>
      <c r="I269" s="366"/>
      <c r="J269" s="366"/>
      <c r="K269" s="366"/>
      <c r="L269" s="367"/>
      <c r="M269" s="5" t="str">
        <f t="shared" ref="M269:S269" si="379">IF(AND($Q$282&gt;M268,N269&lt;&gt;"x",O269&lt;&gt;"x",P269&lt;&gt;"x",Q269&lt;&gt;"x",R269&lt;&gt;"x",S269&lt;&gt;"x"),"x","")</f>
        <v/>
      </c>
      <c r="N269" s="5" t="str">
        <f t="shared" si="379"/>
        <v/>
      </c>
      <c r="O269" s="5" t="str">
        <f t="shared" si="379"/>
        <v/>
      </c>
      <c r="P269" s="5" t="str">
        <f t="shared" si="379"/>
        <v/>
      </c>
      <c r="Q269" s="5" t="str">
        <f t="shared" si="379"/>
        <v/>
      </c>
      <c r="R269" s="5" t="str">
        <f t="shared" si="379"/>
        <v/>
      </c>
      <c r="S269" s="5" t="str">
        <f t="shared" si="379"/>
        <v/>
      </c>
      <c r="T269" s="154"/>
      <c r="U269" s="154"/>
      <c r="V269" s="154"/>
      <c r="W269" s="154"/>
      <c r="X269" s="154"/>
    </row>
    <row r="270" spans="2:25" ht="15.75" customHeight="1" x14ac:dyDescent="0.25">
      <c r="B270" s="360"/>
      <c r="C270" s="361"/>
      <c r="D270" s="362"/>
      <c r="E270" s="247" t="s">
        <v>87</v>
      </c>
      <c r="F270" s="248">
        <v>200</v>
      </c>
      <c r="G270" s="249">
        <v>200</v>
      </c>
      <c r="H270" s="249" t="s">
        <v>107</v>
      </c>
      <c r="I270" s="366"/>
      <c r="J270" s="366"/>
      <c r="K270" s="366"/>
      <c r="L270" s="367"/>
      <c r="M270" s="31"/>
      <c r="N270" s="5"/>
      <c r="O270" s="5"/>
      <c r="P270" s="5"/>
      <c r="Q270" s="5"/>
      <c r="R270" s="154"/>
      <c r="S270" s="77"/>
      <c r="T270" s="154"/>
      <c r="U270" s="154"/>
      <c r="V270" s="154"/>
      <c r="W270" s="154"/>
      <c r="X270" s="154"/>
      <c r="Y270" s="154"/>
    </row>
    <row r="271" spans="2:25" ht="15.75" customHeight="1" x14ac:dyDescent="0.25">
      <c r="B271" s="360"/>
      <c r="C271" s="361"/>
      <c r="D271" s="362"/>
      <c r="E271" s="247" t="s">
        <v>90</v>
      </c>
      <c r="F271" s="248">
        <v>300</v>
      </c>
      <c r="G271" s="249">
        <v>300</v>
      </c>
      <c r="H271" s="249"/>
      <c r="I271" s="366"/>
      <c r="J271" s="366"/>
      <c r="K271" s="366"/>
      <c r="L271" s="367"/>
      <c r="M271" s="5"/>
      <c r="N271" s="7"/>
      <c r="O271" s="5"/>
      <c r="P271" s="5"/>
      <c r="Q271" s="5"/>
      <c r="R271" s="154"/>
      <c r="S271" s="77"/>
      <c r="T271" s="77"/>
      <c r="U271" s="154"/>
      <c r="V271" s="154"/>
      <c r="W271" s="154"/>
      <c r="X271" s="154"/>
      <c r="Y271" s="154"/>
    </row>
    <row r="272" spans="2:25" ht="15.75" customHeight="1" x14ac:dyDescent="0.25">
      <c r="B272" s="360"/>
      <c r="C272" s="361"/>
      <c r="D272" s="362"/>
      <c r="E272" s="247" t="s">
        <v>27</v>
      </c>
      <c r="F272" s="248">
        <v>400</v>
      </c>
      <c r="G272" s="249">
        <v>400</v>
      </c>
      <c r="H272" s="249"/>
      <c r="I272" s="366"/>
      <c r="J272" s="366"/>
      <c r="K272" s="366"/>
      <c r="L272" s="367"/>
      <c r="M272" s="154"/>
      <c r="N272" s="154"/>
      <c r="O272" s="154"/>
      <c r="P272" s="154"/>
      <c r="Q272" s="154"/>
      <c r="R272" s="154"/>
      <c r="S272" s="154"/>
      <c r="T272" s="154"/>
      <c r="U272" s="154"/>
      <c r="V272" s="5"/>
      <c r="W272" s="5"/>
      <c r="X272" s="5"/>
      <c r="Y272" s="154"/>
    </row>
    <row r="273" spans="1:25" ht="15.75" customHeight="1" x14ac:dyDescent="0.25">
      <c r="B273" s="360"/>
      <c r="C273" s="361"/>
      <c r="D273" s="362"/>
      <c r="E273" s="247" t="s">
        <v>91</v>
      </c>
      <c r="F273" s="248">
        <v>1500</v>
      </c>
      <c r="G273" s="249">
        <v>1500</v>
      </c>
      <c r="H273" s="249"/>
      <c r="I273" s="366"/>
      <c r="J273" s="366"/>
      <c r="K273" s="366"/>
      <c r="L273" s="367"/>
      <c r="M273" s="154"/>
      <c r="N273" s="154"/>
      <c r="O273" s="154"/>
      <c r="P273" s="154"/>
      <c r="Q273" s="154"/>
      <c r="R273" s="154"/>
      <c r="S273" s="154"/>
      <c r="T273" s="154"/>
      <c r="U273" s="154"/>
      <c r="V273" s="154"/>
      <c r="W273" s="154"/>
      <c r="X273" s="154"/>
      <c r="Y273" s="154"/>
    </row>
    <row r="274" spans="1:25" ht="15.75" customHeight="1" x14ac:dyDescent="0.25">
      <c r="B274" s="360"/>
      <c r="C274" s="361"/>
      <c r="D274" s="362"/>
      <c r="E274" s="247" t="s">
        <v>92</v>
      </c>
      <c r="F274" s="248">
        <v>100</v>
      </c>
      <c r="G274" s="250">
        <v>100</v>
      </c>
      <c r="H274" s="249"/>
      <c r="I274" s="366"/>
      <c r="J274" s="366"/>
      <c r="K274" s="366"/>
      <c r="L274" s="367"/>
      <c r="M274" s="31"/>
      <c r="N274" s="154"/>
      <c r="O274" s="77"/>
      <c r="P274" s="77"/>
      <c r="Q274" s="154"/>
      <c r="R274" s="154"/>
      <c r="S274" s="154"/>
      <c r="T274" s="154"/>
      <c r="U274" s="154"/>
      <c r="V274" s="154"/>
      <c r="W274" s="154"/>
      <c r="X274" s="154"/>
      <c r="Y274" s="154"/>
    </row>
    <row r="275" spans="1:25" ht="15.75" customHeight="1" x14ac:dyDescent="0.25">
      <c r="B275" s="360"/>
      <c r="C275" s="361"/>
      <c r="D275" s="362"/>
      <c r="E275" s="247" t="s">
        <v>77</v>
      </c>
      <c r="F275" s="248">
        <v>50</v>
      </c>
      <c r="G275" s="250">
        <v>50</v>
      </c>
      <c r="H275" s="249"/>
      <c r="I275" s="366"/>
      <c r="J275" s="366"/>
      <c r="K275" s="366"/>
      <c r="L275" s="367"/>
      <c r="M275" s="154"/>
      <c r="N275" s="154"/>
      <c r="O275" s="154"/>
      <c r="P275" s="154"/>
      <c r="Q275" s="154"/>
      <c r="R275" s="154"/>
      <c r="S275" s="154"/>
      <c r="T275" s="154"/>
      <c r="U275" s="154"/>
      <c r="V275" s="154"/>
      <c r="W275" s="154"/>
      <c r="X275" s="154"/>
      <c r="Y275" s="154"/>
    </row>
    <row r="276" spans="1:25" ht="15.75" customHeight="1" x14ac:dyDescent="0.25">
      <c r="B276" s="360"/>
      <c r="C276" s="361"/>
      <c r="D276" s="362"/>
      <c r="E276" s="247" t="s">
        <v>104</v>
      </c>
      <c r="F276" s="248">
        <v>100</v>
      </c>
      <c r="G276" s="250">
        <v>100</v>
      </c>
      <c r="H276" s="249" t="s">
        <v>106</v>
      </c>
      <c r="I276" s="366"/>
      <c r="J276" s="366"/>
      <c r="K276" s="366"/>
      <c r="L276" s="367"/>
      <c r="M276" s="154"/>
      <c r="N276" s="154"/>
      <c r="O276" s="154"/>
      <c r="P276" s="154"/>
      <c r="Q276" s="154"/>
      <c r="R276" s="154"/>
      <c r="S276" s="154"/>
      <c r="T276" s="154"/>
      <c r="U276" s="154"/>
      <c r="V276" s="154"/>
      <c r="W276" s="154"/>
      <c r="X276" s="154"/>
    </row>
    <row r="277" spans="1:25" ht="15.75" customHeight="1" x14ac:dyDescent="0.25">
      <c r="A277" s="5"/>
      <c r="B277" s="360"/>
      <c r="C277" s="361"/>
      <c r="D277" s="362"/>
      <c r="E277" s="247" t="s">
        <v>93</v>
      </c>
      <c r="F277" s="248">
        <v>100</v>
      </c>
      <c r="G277" s="250">
        <v>100</v>
      </c>
      <c r="H277" s="249"/>
      <c r="I277" s="366"/>
      <c r="J277" s="366"/>
      <c r="K277" s="366"/>
      <c r="L277" s="367"/>
      <c r="M277" s="5"/>
      <c r="N277" s="154"/>
      <c r="O277" s="154"/>
      <c r="P277" s="154"/>
      <c r="Q277" s="154"/>
      <c r="R277" s="154"/>
      <c r="S277" s="5"/>
      <c r="T277" s="5"/>
      <c r="U277" s="5"/>
      <c r="V277" s="5"/>
      <c r="W277" s="5"/>
      <c r="X277" s="5"/>
    </row>
    <row r="278" spans="1:25" ht="15.75" customHeight="1" x14ac:dyDescent="0.25">
      <c r="B278" s="360"/>
      <c r="C278" s="361"/>
      <c r="D278" s="362"/>
      <c r="E278" s="247" t="s">
        <v>94</v>
      </c>
      <c r="F278" s="251">
        <v>300</v>
      </c>
      <c r="G278" s="250">
        <v>300</v>
      </c>
      <c r="H278" s="249"/>
      <c r="I278" s="366"/>
      <c r="J278" s="366"/>
      <c r="K278" s="366"/>
      <c r="L278" s="367"/>
      <c r="M278" s="154"/>
      <c r="N278" s="154"/>
      <c r="O278" s="154"/>
      <c r="P278" s="154"/>
      <c r="Q278" s="154"/>
      <c r="R278" s="154"/>
      <c r="S278" s="154"/>
      <c r="T278" s="154"/>
      <c r="U278" s="154"/>
      <c r="V278" s="154"/>
      <c r="W278" s="154"/>
      <c r="X278" s="154"/>
    </row>
    <row r="279" spans="1:25" ht="15.75" customHeight="1" x14ac:dyDescent="0.25">
      <c r="B279" s="360"/>
      <c r="C279" s="361"/>
      <c r="D279" s="362"/>
      <c r="E279" s="247" t="s">
        <v>152</v>
      </c>
      <c r="F279" s="251">
        <v>100</v>
      </c>
      <c r="G279" s="252">
        <v>100</v>
      </c>
      <c r="H279" s="249"/>
      <c r="I279" s="366"/>
      <c r="J279" s="366"/>
      <c r="K279" s="366"/>
      <c r="L279" s="367"/>
      <c r="M279" s="106"/>
      <c r="N279" s="154"/>
      <c r="O279" s="154"/>
      <c r="P279" s="154"/>
      <c r="Q279" s="154"/>
      <c r="R279" s="154"/>
      <c r="S279" s="154"/>
      <c r="T279" s="154"/>
      <c r="U279" s="154"/>
      <c r="V279" s="154"/>
      <c r="W279" s="154"/>
      <c r="X279" s="154"/>
    </row>
    <row r="280" spans="1:25" s="144" customFormat="1" ht="15.75" customHeight="1" thickBot="1" x14ac:dyDescent="0.3">
      <c r="B280" s="360"/>
      <c r="C280" s="361"/>
      <c r="D280" s="362"/>
      <c r="E280" s="253"/>
      <c r="F280" s="254"/>
      <c r="G280" s="252"/>
      <c r="H280" s="249"/>
      <c r="I280" s="366"/>
      <c r="J280" s="366"/>
      <c r="K280" s="366"/>
      <c r="L280" s="367"/>
      <c r="M280" s="149"/>
      <c r="N280" s="154"/>
      <c r="O280" s="154"/>
      <c r="P280" s="154"/>
      <c r="Q280" s="154"/>
      <c r="R280" s="154"/>
      <c r="S280" s="154"/>
      <c r="T280" s="154"/>
      <c r="U280" s="154"/>
      <c r="V280" s="154"/>
      <c r="W280" s="154"/>
      <c r="X280" s="154"/>
    </row>
    <row r="281" spans="1:25" ht="15.75" customHeight="1" thickBot="1" x14ac:dyDescent="0.3">
      <c r="B281" s="363"/>
      <c r="C281" s="364"/>
      <c r="D281" s="365"/>
      <c r="E281" s="255" t="s">
        <v>29</v>
      </c>
      <c r="F281" s="256">
        <f>SUM(F268:F280)</f>
        <v>3350</v>
      </c>
      <c r="G281" s="257"/>
      <c r="H281" s="258"/>
      <c r="I281" s="366"/>
      <c r="J281" s="366"/>
      <c r="K281" s="366"/>
      <c r="L281" s="366"/>
      <c r="M281" s="210" t="s">
        <v>82</v>
      </c>
      <c r="N281" s="154"/>
      <c r="O281" s="77"/>
      <c r="P281" s="77"/>
      <c r="Q281" s="154"/>
      <c r="R281" s="154"/>
      <c r="S281" s="154"/>
      <c r="T281" s="154"/>
      <c r="U281" s="154"/>
      <c r="V281" s="154"/>
      <c r="W281" s="154"/>
      <c r="X281" s="154"/>
    </row>
    <row r="282" spans="1:25" ht="14.25" customHeight="1" thickBot="1" x14ac:dyDescent="0.3">
      <c r="B282" s="357" t="s">
        <v>30</v>
      </c>
      <c r="C282" s="343"/>
      <c r="D282" s="347"/>
      <c r="E282" s="18">
        <f ca="1">3000-(I264+F281)</f>
        <v>-1650</v>
      </c>
      <c r="F282" s="32" t="s">
        <v>31</v>
      </c>
      <c r="G282" s="33">
        <f>SUM(G268:G281)</f>
        <v>3350</v>
      </c>
      <c r="H282" s="358" t="s">
        <v>32</v>
      </c>
      <c r="I282" s="328"/>
      <c r="J282" s="328"/>
      <c r="K282" s="359"/>
      <c r="L282" s="20">
        <f ca="1">SUM(I264,G282)</f>
        <v>4650</v>
      </c>
      <c r="M282" s="211">
        <f ca="1">status_mêsAtual!C19</f>
        <v>-1050</v>
      </c>
      <c r="N282" s="154"/>
      <c r="O282" s="154"/>
      <c r="P282" s="154"/>
      <c r="Q282" s="154"/>
      <c r="R282" s="154"/>
      <c r="S282" s="154"/>
      <c r="T282" s="154"/>
      <c r="U282" s="154"/>
      <c r="V282" s="154"/>
      <c r="W282" s="154"/>
      <c r="X282" s="154"/>
    </row>
    <row r="283" spans="1:25" ht="14.25" customHeight="1" x14ac:dyDescent="0.25">
      <c r="A283" s="106"/>
      <c r="B283" s="112"/>
      <c r="C283" s="112"/>
      <c r="D283" s="112"/>
      <c r="E283" s="112"/>
      <c r="F283" s="112"/>
      <c r="G283" s="112"/>
      <c r="H283" s="112"/>
      <c r="I283" s="112"/>
      <c r="J283" s="435"/>
      <c r="K283" s="5"/>
      <c r="L283" s="5"/>
      <c r="M283" s="7"/>
      <c r="N283" s="154"/>
      <c r="O283" s="154"/>
      <c r="P283" s="154"/>
      <c r="Q283" s="154"/>
      <c r="R283" s="154"/>
      <c r="S283" s="154"/>
      <c r="T283" s="154"/>
      <c r="U283" s="154"/>
      <c r="V283" s="154"/>
      <c r="W283" s="154"/>
      <c r="X283" s="154"/>
    </row>
    <row r="284" spans="1:25" x14ac:dyDescent="0.25">
      <c r="C284" s="15" t="s">
        <v>97</v>
      </c>
      <c r="D284" s="15" t="s">
        <v>33</v>
      </c>
      <c r="E284" s="5"/>
      <c r="F284" s="154"/>
      <c r="G284" s="154"/>
      <c r="H284" s="154"/>
      <c r="I284" s="74"/>
      <c r="J284" s="5"/>
      <c r="K284" s="5"/>
      <c r="L284" s="5"/>
      <c r="M284" s="154"/>
      <c r="N284" s="154"/>
      <c r="O284" s="154"/>
      <c r="P284" s="154"/>
      <c r="Q284" s="154"/>
      <c r="R284" s="154"/>
      <c r="S284" s="154"/>
      <c r="T284" s="154"/>
      <c r="U284" s="154"/>
      <c r="V284" s="154"/>
      <c r="W284" s="154"/>
      <c r="X284" s="154"/>
    </row>
    <row r="285" spans="1:25" x14ac:dyDescent="0.25">
      <c r="C285" s="15" t="s">
        <v>98</v>
      </c>
      <c r="D285" s="15" t="s">
        <v>34</v>
      </c>
      <c r="E285" s="5"/>
      <c r="I285" s="101"/>
      <c r="J285" s="5"/>
      <c r="K285" s="5"/>
      <c r="L285" s="5"/>
      <c r="M285" s="154"/>
      <c r="N285" s="5"/>
      <c r="O285" s="5"/>
      <c r="P285" s="154"/>
      <c r="Q285" s="154"/>
      <c r="R285" s="154"/>
      <c r="S285" s="154"/>
      <c r="T285" s="154"/>
      <c r="U285" s="154"/>
      <c r="V285" s="154"/>
      <c r="W285" s="154"/>
      <c r="X285" s="154"/>
    </row>
    <row r="286" spans="1:25" ht="14.25" customHeight="1" x14ac:dyDescent="0.25">
      <c r="C286" s="15" t="s">
        <v>99</v>
      </c>
      <c r="D286" s="15" t="s">
        <v>35</v>
      </c>
      <c r="E286" s="81"/>
      <c r="F286" s="5"/>
      <c r="H286" s="34"/>
      <c r="I286" s="102"/>
      <c r="J286" s="5"/>
      <c r="K286" s="5"/>
      <c r="L286" s="5"/>
      <c r="M286" s="154"/>
      <c r="N286" s="154"/>
      <c r="O286" s="154"/>
      <c r="P286" s="154"/>
      <c r="Q286" s="154"/>
      <c r="R286" s="154"/>
      <c r="S286" s="154"/>
      <c r="T286" s="154"/>
      <c r="U286" s="154"/>
      <c r="V286" s="154"/>
      <c r="W286" s="154"/>
      <c r="X286" s="154"/>
    </row>
    <row r="287" spans="1:25" ht="14.25" customHeight="1" x14ac:dyDescent="0.25">
      <c r="C287" s="15" t="s">
        <v>100</v>
      </c>
      <c r="D287" s="15" t="s">
        <v>36</v>
      </c>
      <c r="E287" s="5"/>
      <c r="F287" s="5"/>
      <c r="G287" s="7"/>
      <c r="H287" s="5"/>
      <c r="I287" s="102"/>
      <c r="J287" s="5"/>
      <c r="K287" s="5"/>
      <c r="L287" s="5"/>
      <c r="M287" s="154"/>
      <c r="N287" s="5"/>
      <c r="O287" s="5"/>
      <c r="P287" s="154"/>
      <c r="Q287" s="154"/>
      <c r="R287" s="154"/>
      <c r="S287" s="154"/>
      <c r="T287" s="154"/>
      <c r="U287" s="154"/>
      <c r="V287" s="154"/>
      <c r="W287" s="154"/>
      <c r="X287" s="154"/>
    </row>
    <row r="288" spans="1:25" ht="14.25" customHeight="1" x14ac:dyDescent="0.25">
      <c r="C288" s="15" t="s">
        <v>101</v>
      </c>
      <c r="D288" s="15" t="s">
        <v>37</v>
      </c>
      <c r="E288" s="150"/>
      <c r="F288" s="150"/>
      <c r="G288" s="150"/>
      <c r="H288" s="36"/>
      <c r="I288" s="102"/>
      <c r="J288" s="5"/>
      <c r="K288" s="5"/>
      <c r="L288" s="5"/>
      <c r="M288" s="154"/>
      <c r="N288" s="5"/>
      <c r="O288" s="5"/>
      <c r="P288" s="154"/>
      <c r="Q288" s="154"/>
      <c r="R288" s="154"/>
      <c r="S288" s="154"/>
      <c r="T288" s="154"/>
      <c r="U288" s="154"/>
      <c r="V288" s="154"/>
      <c r="W288" s="154"/>
      <c r="X288" s="154"/>
    </row>
    <row r="289" spans="1:26" ht="14.25" customHeight="1" x14ac:dyDescent="0.25">
      <c r="C289" s="15" t="s">
        <v>102</v>
      </c>
      <c r="D289" s="15" t="s">
        <v>38</v>
      </c>
      <c r="E289" s="5"/>
      <c r="F289" s="5"/>
      <c r="G289" s="5"/>
      <c r="H289" s="34"/>
      <c r="I289" s="102"/>
      <c r="J289" s="81"/>
      <c r="K289" s="5"/>
      <c r="L289" s="5"/>
      <c r="M289" s="154"/>
      <c r="N289" s="5"/>
      <c r="O289" s="5"/>
      <c r="P289" s="154"/>
      <c r="Q289" s="154"/>
      <c r="R289" s="154"/>
      <c r="S289" s="154"/>
      <c r="T289" s="154"/>
      <c r="U289" s="154"/>
      <c r="V289" s="154"/>
      <c r="W289" s="154"/>
      <c r="X289" s="154"/>
    </row>
    <row r="290" spans="1:26" ht="15" customHeight="1" x14ac:dyDescent="0.25">
      <c r="C290" s="15" t="s">
        <v>95</v>
      </c>
      <c r="D290" s="15" t="s">
        <v>96</v>
      </c>
      <c r="G290" s="77"/>
      <c r="H290" s="34"/>
      <c r="I290" s="34"/>
      <c r="K290" s="5"/>
      <c r="L290" s="5"/>
      <c r="M290" s="154"/>
      <c r="N290" s="5"/>
      <c r="O290" s="5"/>
      <c r="P290" s="154"/>
      <c r="Q290" s="154"/>
      <c r="R290" s="154"/>
      <c r="S290" s="154"/>
      <c r="T290" s="154"/>
      <c r="U290" s="154"/>
      <c r="V290" s="154"/>
      <c r="W290" s="154"/>
      <c r="X290" s="154"/>
    </row>
    <row r="291" spans="1:26" ht="15" customHeight="1" x14ac:dyDescent="0.25">
      <c r="C291" s="15" t="s">
        <v>103</v>
      </c>
      <c r="D291" s="15" t="s">
        <v>60</v>
      </c>
      <c r="H291" s="34"/>
      <c r="I291" s="34"/>
      <c r="K291" s="5"/>
      <c r="L291" s="5"/>
      <c r="M291" s="154"/>
      <c r="N291" s="5"/>
      <c r="O291" s="5"/>
      <c r="P291" s="154"/>
      <c r="Q291" s="154"/>
      <c r="R291" s="154"/>
      <c r="S291" s="154"/>
      <c r="T291" s="154"/>
      <c r="U291" s="154"/>
      <c r="V291" s="154"/>
      <c r="W291" s="154"/>
      <c r="X291" s="154"/>
    </row>
    <row r="292" spans="1:26" ht="15.75" customHeight="1" x14ac:dyDescent="0.25">
      <c r="C292" s="15"/>
      <c r="D292" s="15"/>
      <c r="H292" s="34"/>
      <c r="I292" s="34"/>
      <c r="K292" s="5"/>
      <c r="L292" s="5"/>
      <c r="M292" s="154"/>
      <c r="N292" s="5"/>
      <c r="O292" s="5"/>
      <c r="P292" s="154"/>
      <c r="Q292" s="154"/>
      <c r="R292" s="154"/>
      <c r="S292" s="154"/>
      <c r="T292" s="154"/>
      <c r="U292" s="154"/>
      <c r="V292" s="154"/>
      <c r="W292" s="154"/>
      <c r="X292" s="154"/>
    </row>
    <row r="293" spans="1:26" ht="15" customHeight="1" x14ac:dyDescent="0.25">
      <c r="C293" s="15"/>
      <c r="D293" s="15"/>
      <c r="H293" s="34"/>
      <c r="I293" s="34"/>
      <c r="J293" s="154"/>
      <c r="K293" s="5"/>
      <c r="L293" s="5"/>
      <c r="M293" s="154"/>
      <c r="N293" s="5"/>
      <c r="O293" s="5"/>
      <c r="P293" s="154"/>
      <c r="Q293" s="154"/>
      <c r="R293" s="154"/>
      <c r="S293" s="154"/>
      <c r="T293" s="154"/>
      <c r="U293" s="154"/>
      <c r="V293" s="154"/>
      <c r="W293" s="154"/>
      <c r="X293" s="154"/>
    </row>
    <row r="294" spans="1:26" ht="15" customHeight="1" x14ac:dyDescent="0.25">
      <c r="A294" s="5"/>
      <c r="B294" s="5"/>
      <c r="C294" s="5"/>
      <c r="D294" s="5"/>
      <c r="E294" s="5"/>
      <c r="F294" s="5"/>
      <c r="G294" s="5"/>
      <c r="H294" s="34"/>
      <c r="I294" s="34"/>
      <c r="J294" s="154"/>
      <c r="K294" s="5"/>
      <c r="L294" s="5"/>
      <c r="M294" s="146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s="98" customFormat="1" ht="15" customHeight="1" x14ac:dyDescent="0.25">
      <c r="A295" s="5"/>
      <c r="B295" s="5"/>
      <c r="C295" s="15"/>
      <c r="D295" s="15"/>
      <c r="E295" s="5"/>
      <c r="F295" s="5"/>
      <c r="G295" s="5"/>
      <c r="H295" s="34"/>
      <c r="I295" s="34"/>
      <c r="J295" s="154"/>
      <c r="K295" s="5"/>
      <c r="L295" s="5"/>
      <c r="M295" s="146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s="98" customFormat="1" ht="15" customHeight="1" x14ac:dyDescent="0.25">
      <c r="A296" s="5"/>
      <c r="B296" s="5"/>
      <c r="C296" s="15"/>
      <c r="D296" s="15"/>
      <c r="E296" s="5"/>
      <c r="F296" s="5"/>
      <c r="G296" s="5"/>
      <c r="H296" s="34"/>
      <c r="I296" s="34"/>
      <c r="J296" s="154"/>
      <c r="K296" s="5"/>
      <c r="L296" s="5"/>
      <c r="M296" s="146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s="98" customFormat="1" ht="15" customHeight="1" x14ac:dyDescent="0.25">
      <c r="A297" s="5"/>
      <c r="B297" s="5"/>
      <c r="C297" s="15"/>
      <c r="D297" s="15"/>
      <c r="E297" s="5"/>
      <c r="F297" s="5"/>
      <c r="G297" s="5"/>
      <c r="H297" s="34"/>
      <c r="I297" s="34"/>
      <c r="J297" s="154"/>
      <c r="K297" s="5"/>
      <c r="L297" s="5"/>
      <c r="M297" s="146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s="98" customFormat="1" ht="15" customHeight="1" x14ac:dyDescent="0.25">
      <c r="A298" s="5"/>
      <c r="B298" s="5"/>
      <c r="C298" s="15"/>
      <c r="D298" s="15"/>
      <c r="E298" s="5"/>
      <c r="F298" s="5"/>
      <c r="G298" s="5"/>
      <c r="H298" s="34"/>
      <c r="I298" s="34"/>
      <c r="J298" s="154"/>
      <c r="K298" s="5"/>
      <c r="L298" s="5"/>
      <c r="M298" s="146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s="98" customFormat="1" ht="15" customHeight="1" x14ac:dyDescent="0.25">
      <c r="A299" s="5"/>
      <c r="B299" s="5"/>
      <c r="C299" s="15"/>
      <c r="D299" s="15"/>
      <c r="E299" s="5"/>
      <c r="F299" s="5"/>
      <c r="G299" s="5"/>
      <c r="H299" s="34"/>
      <c r="I299" s="34"/>
      <c r="J299" s="154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s="98" customFormat="1" ht="15" customHeight="1" x14ac:dyDescent="0.25">
      <c r="A300" s="5"/>
      <c r="B300" s="5"/>
      <c r="C300" s="15"/>
      <c r="D300" s="15"/>
      <c r="E300" s="5"/>
      <c r="F300" s="5"/>
      <c r="G300" s="5"/>
      <c r="H300" s="34"/>
      <c r="I300" s="34"/>
      <c r="J300" s="154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s="98" customFormat="1" ht="15" customHeight="1" x14ac:dyDescent="0.25">
      <c r="A301" s="5"/>
      <c r="B301" s="5"/>
      <c r="C301" s="15"/>
      <c r="D301" s="15"/>
      <c r="E301" s="5"/>
      <c r="F301" s="5"/>
      <c r="G301" s="5"/>
      <c r="H301" s="34"/>
      <c r="I301" s="34"/>
      <c r="J301" s="154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" customHeight="1" x14ac:dyDescent="0.25">
      <c r="C302" s="132"/>
      <c r="D302" s="132"/>
      <c r="H302" s="36"/>
      <c r="I302" s="36"/>
      <c r="J302" s="154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154"/>
    </row>
    <row r="303" spans="1:26" ht="15" customHeight="1" x14ac:dyDescent="0.25">
      <c r="C303" s="132"/>
      <c r="D303" s="132"/>
      <c r="H303" s="34"/>
      <c r="I303" s="34"/>
      <c r="J303" s="154"/>
      <c r="K303" s="5"/>
      <c r="L303" s="5"/>
      <c r="M303" s="154"/>
      <c r="N303" s="154"/>
      <c r="O303" s="154"/>
      <c r="P303" s="154"/>
      <c r="Q303" s="154"/>
      <c r="R303" s="154"/>
      <c r="S303" s="154"/>
      <c r="T303" s="154"/>
      <c r="U303" s="154"/>
      <c r="V303" s="154"/>
      <c r="W303" s="154"/>
      <c r="X303" s="154"/>
    </row>
    <row r="304" spans="1:26" ht="15" customHeight="1" thickBot="1" x14ac:dyDescent="0.3">
      <c r="G304" s="38"/>
      <c r="H304" s="34"/>
      <c r="I304" s="34"/>
      <c r="J304" s="154"/>
      <c r="K304" s="5"/>
      <c r="L304" s="5"/>
      <c r="M304" s="154"/>
      <c r="N304" s="154"/>
      <c r="O304" s="154"/>
      <c r="P304" s="154"/>
      <c r="Q304" s="154"/>
      <c r="R304" s="154"/>
      <c r="S304" s="154"/>
      <c r="T304" s="154"/>
      <c r="U304" s="154"/>
      <c r="V304" s="154"/>
      <c r="W304" s="154"/>
      <c r="X304" s="154"/>
    </row>
    <row r="305" spans="4:24" ht="15" customHeight="1" thickBot="1" x14ac:dyDescent="0.3">
      <c r="D305" s="126" t="s">
        <v>42</v>
      </c>
      <c r="E305" s="123" t="s">
        <v>39</v>
      </c>
      <c r="F305" s="35">
        <f ca="1">SUBTOTAL(109,I5:I44,I48:I75,I79:I104,I108:I150,I154:I199,I203:I225,I229:I261)</f>
        <v>1300</v>
      </c>
      <c r="H305" s="34"/>
      <c r="I305" s="34"/>
      <c r="J305" s="154"/>
      <c r="K305" s="5"/>
      <c r="L305" s="5"/>
      <c r="M305" s="154"/>
      <c r="N305" s="154"/>
      <c r="O305" s="154"/>
      <c r="P305" s="154"/>
      <c r="Q305" s="154"/>
      <c r="R305" s="154"/>
      <c r="S305" s="154"/>
      <c r="T305" s="154"/>
      <c r="U305" s="154"/>
      <c r="V305" s="154"/>
      <c r="W305" s="154"/>
      <c r="X305" s="154"/>
    </row>
    <row r="306" spans="4:24" ht="15" customHeight="1" thickBot="1" x14ac:dyDescent="0.3">
      <c r="D306" s="125">
        <v>2500</v>
      </c>
      <c r="E306" s="124" t="s">
        <v>41</v>
      </c>
      <c r="F306" s="37">
        <f ca="1">F281+F305</f>
        <v>4650</v>
      </c>
      <c r="G306" s="39"/>
      <c r="H306" s="39"/>
      <c r="I306" s="39"/>
      <c r="J306" s="154"/>
      <c r="K306" s="5"/>
      <c r="L306" s="438">
        <f ca="1">SUM(M306:W306)</f>
        <v>6289</v>
      </c>
      <c r="M306" s="436">
        <f ca="1">SUBTOTAL(109,M5:M44,M48:M75,M79:M86,M90:M150,M154:M199,M203:M225,M229:M261)</f>
        <v>1300</v>
      </c>
      <c r="N306" s="35">
        <f t="shared" ref="N306:W306" ca="1" si="380">SUBTOTAL(109,N5:N44,N48:N75,N79:N86,N90:N150,N154:N199,N203:N225,N229:N261)</f>
        <v>1300</v>
      </c>
      <c r="O306" s="35">
        <f t="shared" ca="1" si="380"/>
        <v>400</v>
      </c>
      <c r="P306" s="35">
        <f t="shared" ca="1" si="380"/>
        <v>400</v>
      </c>
      <c r="Q306" s="35">
        <f t="shared" ca="1" si="380"/>
        <v>400</v>
      </c>
      <c r="R306" s="35">
        <f t="shared" ca="1" si="380"/>
        <v>400</v>
      </c>
      <c r="S306" s="35">
        <f t="shared" ca="1" si="380"/>
        <v>400</v>
      </c>
      <c r="T306" s="35">
        <f t="shared" ca="1" si="380"/>
        <v>489</v>
      </c>
      <c r="U306" s="35">
        <f t="shared" ca="1" si="380"/>
        <v>400</v>
      </c>
      <c r="V306" s="35">
        <f t="shared" ca="1" si="380"/>
        <v>400</v>
      </c>
      <c r="W306" s="35">
        <f t="shared" ca="1" si="380"/>
        <v>400</v>
      </c>
      <c r="X306" s="154"/>
    </row>
    <row r="307" spans="4:24" ht="15.75" customHeight="1" x14ac:dyDescent="0.25">
      <c r="H307" s="5"/>
      <c r="J307" s="154"/>
      <c r="K307" s="5"/>
      <c r="L307" s="437" t="s">
        <v>40</v>
      </c>
      <c r="M307" s="154"/>
      <c r="N307" s="154"/>
      <c r="O307" s="154"/>
      <c r="P307" s="154"/>
      <c r="Q307" s="154"/>
      <c r="R307" s="154"/>
      <c r="S307" s="154"/>
      <c r="T307" s="154"/>
      <c r="U307" s="154"/>
      <c r="V307" s="154"/>
      <c r="W307" s="154"/>
      <c r="X307" s="154"/>
    </row>
    <row r="308" spans="4:24" ht="15.75" customHeight="1" x14ac:dyDescent="0.25">
      <c r="G308" s="79" t="s">
        <v>61</v>
      </c>
      <c r="H308" s="80">
        <f>SUBTOTAL(109,H5:H262)</f>
        <v>1389</v>
      </c>
      <c r="J308" s="154"/>
      <c r="K308" s="5"/>
      <c r="L308" s="5"/>
      <c r="M308" s="154"/>
      <c r="N308" s="154"/>
      <c r="O308" s="154"/>
      <c r="P308" s="154"/>
      <c r="Q308" s="154"/>
      <c r="R308" s="154"/>
      <c r="S308" s="154"/>
      <c r="T308" s="154"/>
      <c r="U308" s="154"/>
      <c r="V308" s="154"/>
      <c r="W308" s="154"/>
      <c r="X308" s="154"/>
    </row>
    <row r="309" spans="4:24" ht="15.75" customHeight="1" x14ac:dyDescent="0.25">
      <c r="H309" s="5"/>
      <c r="J309" s="154"/>
      <c r="K309" s="5"/>
      <c r="L309" s="5"/>
    </row>
    <row r="310" spans="4:24" ht="15.75" customHeight="1" x14ac:dyDescent="0.25">
      <c r="H310" s="5"/>
      <c r="J310" s="154"/>
      <c r="K310" s="5"/>
      <c r="L310" s="5"/>
    </row>
    <row r="311" spans="4:24" ht="15.75" customHeight="1" x14ac:dyDescent="0.25">
      <c r="H311" s="5"/>
      <c r="J311" s="154"/>
      <c r="K311" s="5"/>
      <c r="L311" s="5"/>
    </row>
    <row r="312" spans="4:24" ht="15.75" customHeight="1" x14ac:dyDescent="0.25">
      <c r="H312" s="5"/>
      <c r="J312" s="154"/>
      <c r="K312" s="5"/>
      <c r="L312" s="5"/>
    </row>
    <row r="313" spans="4:24" ht="15.75" customHeight="1" x14ac:dyDescent="0.25">
      <c r="H313" s="5"/>
      <c r="J313" s="154"/>
      <c r="K313" s="5"/>
      <c r="L313" s="5"/>
    </row>
    <row r="314" spans="4:24" ht="15.75" customHeight="1" x14ac:dyDescent="0.25">
      <c r="H314" s="5"/>
      <c r="K314" s="5"/>
      <c r="L314" s="5"/>
    </row>
    <row r="315" spans="4:24" ht="15.75" customHeight="1" x14ac:dyDescent="0.25">
      <c r="H315" s="5"/>
      <c r="K315" s="5"/>
      <c r="L315" s="5"/>
    </row>
    <row r="316" spans="4:24" ht="15.75" customHeight="1" x14ac:dyDescent="0.25">
      <c r="H316" s="5"/>
      <c r="K316" s="5"/>
      <c r="L316" s="5"/>
    </row>
    <row r="317" spans="4:24" ht="15.75" customHeight="1" x14ac:dyDescent="0.25">
      <c r="H317" s="5"/>
      <c r="K317" s="5"/>
      <c r="L317" s="5"/>
    </row>
    <row r="318" spans="4:24" ht="15.75" customHeight="1" x14ac:dyDescent="0.25">
      <c r="H318" s="5"/>
      <c r="K318" s="5"/>
      <c r="L318" s="5"/>
    </row>
    <row r="319" spans="4:24" ht="15.75" customHeight="1" x14ac:dyDescent="0.25">
      <c r="H319" s="5"/>
      <c r="K319" s="5"/>
      <c r="L319" s="5"/>
    </row>
    <row r="320" spans="4:24" ht="15.75" customHeight="1" x14ac:dyDescent="0.25">
      <c r="H320" s="5"/>
      <c r="K320" s="5"/>
      <c r="L320" s="5"/>
    </row>
    <row r="321" spans="8:12" ht="15.75" customHeight="1" x14ac:dyDescent="0.25">
      <c r="H321" s="5"/>
      <c r="K321" s="5"/>
      <c r="L321" s="5"/>
    </row>
    <row r="322" spans="8:12" ht="15.75" customHeight="1" x14ac:dyDescent="0.25">
      <c r="H322" s="5"/>
      <c r="K322" s="5"/>
      <c r="L322" s="5"/>
    </row>
    <row r="323" spans="8:12" ht="15.75" customHeight="1" x14ac:dyDescent="0.25">
      <c r="H323" s="5"/>
      <c r="K323" s="5"/>
      <c r="L323" s="5"/>
    </row>
    <row r="324" spans="8:12" ht="15.75" customHeight="1" x14ac:dyDescent="0.25">
      <c r="H324" s="5"/>
      <c r="K324" s="5"/>
      <c r="L324" s="5"/>
    </row>
    <row r="325" spans="8:12" ht="15.75" customHeight="1" x14ac:dyDescent="0.25">
      <c r="H325" s="5"/>
      <c r="K325" s="5"/>
      <c r="L325" s="5"/>
    </row>
    <row r="326" spans="8:12" ht="15.75" customHeight="1" x14ac:dyDescent="0.25">
      <c r="H326" s="5"/>
      <c r="K326" s="5"/>
      <c r="L326" s="5"/>
    </row>
    <row r="327" spans="8:12" ht="15.75" customHeight="1" x14ac:dyDescent="0.25">
      <c r="H327" s="5"/>
      <c r="K327" s="5"/>
      <c r="L327" s="5"/>
    </row>
    <row r="328" spans="8:12" ht="15.75" customHeight="1" x14ac:dyDescent="0.25">
      <c r="H328" s="5"/>
      <c r="K328" s="5"/>
      <c r="L328" s="5"/>
    </row>
    <row r="329" spans="8:12" ht="15.75" customHeight="1" x14ac:dyDescent="0.25">
      <c r="H329" s="5"/>
      <c r="K329" s="5"/>
      <c r="L329" s="5"/>
    </row>
    <row r="330" spans="8:12" ht="15.75" customHeight="1" x14ac:dyDescent="0.25">
      <c r="H330" s="5"/>
      <c r="K330" s="5"/>
      <c r="L330" s="5"/>
    </row>
    <row r="331" spans="8:12" ht="15.75" customHeight="1" x14ac:dyDescent="0.25">
      <c r="H331" s="5"/>
      <c r="K331" s="5"/>
      <c r="L331" s="5"/>
    </row>
    <row r="332" spans="8:12" ht="15.75" customHeight="1" x14ac:dyDescent="0.25">
      <c r="H332" s="5"/>
      <c r="K332" s="5"/>
      <c r="L332" s="5"/>
    </row>
    <row r="333" spans="8:12" ht="15.75" customHeight="1" x14ac:dyDescent="0.25">
      <c r="H333" s="5"/>
      <c r="K333" s="5"/>
      <c r="L333" s="5"/>
    </row>
    <row r="334" spans="8:12" ht="15.75" customHeight="1" x14ac:dyDescent="0.25">
      <c r="H334" s="5"/>
      <c r="K334" s="5"/>
      <c r="L334" s="5"/>
    </row>
    <row r="335" spans="8:12" ht="15.75" customHeight="1" x14ac:dyDescent="0.25">
      <c r="H335" s="5"/>
      <c r="K335" s="5"/>
      <c r="L335" s="5"/>
    </row>
    <row r="336" spans="8:12" ht="15.75" customHeight="1" x14ac:dyDescent="0.25">
      <c r="H336" s="5"/>
      <c r="K336" s="5"/>
      <c r="L336" s="5"/>
    </row>
    <row r="337" spans="8:12" ht="15.75" customHeight="1" x14ac:dyDescent="0.25">
      <c r="H337" s="5"/>
      <c r="K337" s="5"/>
      <c r="L337" s="5"/>
    </row>
    <row r="338" spans="8:12" ht="15.75" customHeight="1" x14ac:dyDescent="0.25">
      <c r="H338" s="5"/>
      <c r="K338" s="5"/>
      <c r="L338" s="5"/>
    </row>
    <row r="339" spans="8:12" ht="15.75" customHeight="1" x14ac:dyDescent="0.25">
      <c r="H339" s="5"/>
      <c r="K339" s="5"/>
      <c r="L339" s="5"/>
    </row>
    <row r="340" spans="8:12" ht="15.75" customHeight="1" x14ac:dyDescent="0.25">
      <c r="H340" s="5"/>
      <c r="K340" s="5"/>
      <c r="L340" s="5"/>
    </row>
    <row r="341" spans="8:12" ht="15.75" customHeight="1" x14ac:dyDescent="0.25">
      <c r="H341" s="5"/>
      <c r="K341" s="5"/>
      <c r="L341" s="5"/>
    </row>
    <row r="342" spans="8:12" ht="15.75" customHeight="1" x14ac:dyDescent="0.25">
      <c r="H342" s="5"/>
      <c r="K342" s="5"/>
      <c r="L342" s="5"/>
    </row>
    <row r="343" spans="8:12" ht="15.75" customHeight="1" x14ac:dyDescent="0.25">
      <c r="H343" s="5"/>
      <c r="K343" s="5"/>
      <c r="L343" s="5"/>
    </row>
    <row r="344" spans="8:12" ht="15.75" customHeight="1" x14ac:dyDescent="0.25">
      <c r="H344" s="5"/>
      <c r="K344" s="5"/>
      <c r="L344" s="5"/>
    </row>
    <row r="345" spans="8:12" ht="15.75" customHeight="1" x14ac:dyDescent="0.25">
      <c r="H345" s="5"/>
      <c r="K345" s="5"/>
      <c r="L345" s="5"/>
    </row>
    <row r="346" spans="8:12" ht="15.75" customHeight="1" x14ac:dyDescent="0.25">
      <c r="H346" s="5"/>
      <c r="K346" s="5"/>
      <c r="L346" s="5"/>
    </row>
    <row r="347" spans="8:12" ht="15.75" customHeight="1" x14ac:dyDescent="0.25">
      <c r="H347" s="5"/>
      <c r="K347" s="5"/>
      <c r="L347" s="5"/>
    </row>
    <row r="348" spans="8:12" ht="15.75" customHeight="1" x14ac:dyDescent="0.25">
      <c r="H348" s="5"/>
      <c r="K348" s="5"/>
      <c r="L348" s="5"/>
    </row>
    <row r="349" spans="8:12" ht="15.75" customHeight="1" x14ac:dyDescent="0.25">
      <c r="H349" s="5"/>
      <c r="K349" s="5"/>
      <c r="L349" s="5"/>
    </row>
    <row r="350" spans="8:12" ht="15.75" customHeight="1" x14ac:dyDescent="0.25">
      <c r="H350" s="5"/>
      <c r="K350" s="5"/>
      <c r="L350" s="5"/>
    </row>
    <row r="351" spans="8:12" ht="15.75" customHeight="1" x14ac:dyDescent="0.25">
      <c r="H351" s="5"/>
      <c r="K351" s="5"/>
      <c r="L351" s="5"/>
    </row>
    <row r="352" spans="8:12" ht="15.75" customHeight="1" x14ac:dyDescent="0.25">
      <c r="H352" s="5"/>
      <c r="K352" s="5"/>
      <c r="L352" s="5"/>
    </row>
    <row r="353" spans="8:12" ht="15.75" customHeight="1" x14ac:dyDescent="0.25">
      <c r="H353" s="5"/>
      <c r="K353" s="5"/>
      <c r="L353" s="5"/>
    </row>
    <row r="354" spans="8:12" ht="15.75" customHeight="1" x14ac:dyDescent="0.25">
      <c r="H354" s="5"/>
      <c r="K354" s="5"/>
      <c r="L354" s="5"/>
    </row>
    <row r="355" spans="8:12" ht="15.75" customHeight="1" x14ac:dyDescent="0.25">
      <c r="H355" s="5"/>
      <c r="K355" s="5"/>
      <c r="L355" s="5"/>
    </row>
    <row r="356" spans="8:12" ht="15.75" customHeight="1" x14ac:dyDescent="0.25">
      <c r="H356" s="5"/>
      <c r="K356" s="5"/>
      <c r="L356" s="5"/>
    </row>
    <row r="357" spans="8:12" ht="15.75" customHeight="1" x14ac:dyDescent="0.25">
      <c r="H357" s="5"/>
      <c r="K357" s="5"/>
      <c r="L357" s="5"/>
    </row>
    <row r="358" spans="8:12" ht="15.75" customHeight="1" x14ac:dyDescent="0.25">
      <c r="H358" s="5"/>
      <c r="K358" s="5"/>
      <c r="L358" s="5"/>
    </row>
    <row r="359" spans="8:12" ht="15.75" customHeight="1" x14ac:dyDescent="0.25">
      <c r="H359" s="5"/>
      <c r="K359" s="5"/>
      <c r="L359" s="5"/>
    </row>
    <row r="360" spans="8:12" ht="15.75" customHeight="1" x14ac:dyDescent="0.25">
      <c r="H360" s="5"/>
      <c r="K360" s="5"/>
      <c r="L360" s="5"/>
    </row>
    <row r="361" spans="8:12" ht="15.75" customHeight="1" x14ac:dyDescent="0.25">
      <c r="H361" s="5"/>
      <c r="K361" s="5"/>
      <c r="L361" s="5"/>
    </row>
    <row r="362" spans="8:12" ht="15.75" customHeight="1" x14ac:dyDescent="0.25">
      <c r="H362" s="5"/>
      <c r="K362" s="5"/>
      <c r="L362" s="5"/>
    </row>
    <row r="363" spans="8:12" ht="15.75" customHeight="1" x14ac:dyDescent="0.25">
      <c r="H363" s="5"/>
      <c r="K363" s="5"/>
      <c r="L363" s="5"/>
    </row>
    <row r="364" spans="8:12" ht="15.75" customHeight="1" x14ac:dyDescent="0.25">
      <c r="H364" s="5"/>
      <c r="K364" s="5"/>
      <c r="L364" s="5"/>
    </row>
    <row r="365" spans="8:12" ht="15.75" customHeight="1" x14ac:dyDescent="0.25">
      <c r="H365" s="5"/>
      <c r="K365" s="5"/>
      <c r="L365" s="5"/>
    </row>
    <row r="366" spans="8:12" ht="15.75" customHeight="1" x14ac:dyDescent="0.25">
      <c r="H366" s="5"/>
      <c r="K366" s="5"/>
      <c r="L366" s="5"/>
    </row>
    <row r="367" spans="8:12" ht="15.75" customHeight="1" x14ac:dyDescent="0.25">
      <c r="H367" s="5"/>
      <c r="K367" s="5"/>
      <c r="L367" s="5"/>
    </row>
    <row r="368" spans="8:12" ht="15.75" customHeight="1" x14ac:dyDescent="0.25">
      <c r="H368" s="5"/>
      <c r="K368" s="5"/>
      <c r="L368" s="5"/>
    </row>
    <row r="369" spans="8:12" ht="15.75" customHeight="1" x14ac:dyDescent="0.25">
      <c r="H369" s="5"/>
      <c r="K369" s="5"/>
      <c r="L369" s="5"/>
    </row>
    <row r="370" spans="8:12" ht="15.75" customHeight="1" x14ac:dyDescent="0.25">
      <c r="H370" s="5"/>
      <c r="K370" s="5"/>
      <c r="L370" s="5"/>
    </row>
    <row r="371" spans="8:12" ht="15.75" customHeight="1" x14ac:dyDescent="0.25">
      <c r="H371" s="5"/>
      <c r="K371" s="5"/>
      <c r="L371" s="5"/>
    </row>
    <row r="372" spans="8:12" ht="15.75" customHeight="1" x14ac:dyDescent="0.25">
      <c r="H372" s="5"/>
      <c r="K372" s="5"/>
      <c r="L372" s="5"/>
    </row>
    <row r="373" spans="8:12" ht="15.75" customHeight="1" x14ac:dyDescent="0.25">
      <c r="H373" s="5"/>
      <c r="K373" s="5"/>
      <c r="L373" s="5"/>
    </row>
    <row r="374" spans="8:12" ht="15.75" customHeight="1" x14ac:dyDescent="0.25">
      <c r="H374" s="5"/>
      <c r="K374" s="5"/>
      <c r="L374" s="5"/>
    </row>
    <row r="375" spans="8:12" ht="15.75" customHeight="1" x14ac:dyDescent="0.25">
      <c r="H375" s="5"/>
      <c r="K375" s="5"/>
      <c r="L375" s="5"/>
    </row>
    <row r="376" spans="8:12" ht="15.75" customHeight="1" x14ac:dyDescent="0.25">
      <c r="H376" s="5"/>
      <c r="K376" s="5"/>
      <c r="L376" s="5"/>
    </row>
    <row r="377" spans="8:12" ht="15.75" customHeight="1" x14ac:dyDescent="0.25">
      <c r="H377" s="5"/>
      <c r="K377" s="5"/>
      <c r="L377" s="5"/>
    </row>
    <row r="378" spans="8:12" ht="15.75" customHeight="1" x14ac:dyDescent="0.25">
      <c r="H378" s="5"/>
      <c r="K378" s="5"/>
      <c r="L378" s="5"/>
    </row>
    <row r="379" spans="8:12" ht="15.75" customHeight="1" x14ac:dyDescent="0.25">
      <c r="H379" s="5"/>
      <c r="K379" s="5"/>
      <c r="L379" s="5"/>
    </row>
    <row r="380" spans="8:12" ht="15.75" customHeight="1" x14ac:dyDescent="0.25">
      <c r="H380" s="5"/>
      <c r="K380" s="5"/>
      <c r="L380" s="5"/>
    </row>
    <row r="381" spans="8:12" ht="15.75" customHeight="1" x14ac:dyDescent="0.25">
      <c r="H381" s="5"/>
      <c r="K381" s="5"/>
      <c r="L381" s="5"/>
    </row>
    <row r="382" spans="8:12" ht="15.75" customHeight="1" x14ac:dyDescent="0.25">
      <c r="H382" s="5"/>
      <c r="K382" s="5"/>
      <c r="L382" s="5"/>
    </row>
    <row r="383" spans="8:12" ht="15.75" customHeight="1" x14ac:dyDescent="0.25">
      <c r="H383" s="5"/>
      <c r="K383" s="5"/>
      <c r="L383" s="5"/>
    </row>
    <row r="384" spans="8:12" ht="15.75" customHeight="1" x14ac:dyDescent="0.25">
      <c r="H384" s="5"/>
      <c r="K384" s="5"/>
      <c r="L384" s="5"/>
    </row>
    <row r="385" spans="8:12" ht="15.75" customHeight="1" x14ac:dyDescent="0.25">
      <c r="H385" s="5"/>
      <c r="K385" s="5"/>
      <c r="L385" s="5"/>
    </row>
    <row r="386" spans="8:12" ht="15.75" customHeight="1" x14ac:dyDescent="0.25">
      <c r="H386" s="5"/>
      <c r="K386" s="5"/>
      <c r="L386" s="5"/>
    </row>
    <row r="387" spans="8:12" ht="15.75" customHeight="1" x14ac:dyDescent="0.25">
      <c r="H387" s="5"/>
      <c r="K387" s="5"/>
      <c r="L387" s="5"/>
    </row>
    <row r="388" spans="8:12" ht="15.75" customHeight="1" x14ac:dyDescent="0.25">
      <c r="H388" s="5"/>
      <c r="K388" s="5"/>
      <c r="L388" s="5"/>
    </row>
    <row r="389" spans="8:12" ht="15.75" customHeight="1" x14ac:dyDescent="0.25">
      <c r="H389" s="5"/>
      <c r="K389" s="5"/>
      <c r="L389" s="5"/>
    </row>
    <row r="390" spans="8:12" ht="15.75" customHeight="1" x14ac:dyDescent="0.25">
      <c r="H390" s="5"/>
      <c r="K390" s="5"/>
      <c r="L390" s="5"/>
    </row>
    <row r="391" spans="8:12" ht="15.75" customHeight="1" x14ac:dyDescent="0.25">
      <c r="H391" s="5"/>
      <c r="K391" s="5"/>
      <c r="L391" s="5"/>
    </row>
    <row r="392" spans="8:12" ht="15.75" customHeight="1" x14ac:dyDescent="0.25">
      <c r="H392" s="5"/>
      <c r="K392" s="5"/>
      <c r="L392" s="5"/>
    </row>
    <row r="393" spans="8:12" ht="15.75" customHeight="1" x14ac:dyDescent="0.25">
      <c r="H393" s="5"/>
      <c r="K393" s="5"/>
      <c r="L393" s="5"/>
    </row>
    <row r="394" spans="8:12" ht="15.75" customHeight="1" x14ac:dyDescent="0.25">
      <c r="H394" s="5"/>
      <c r="K394" s="5"/>
      <c r="L394" s="5"/>
    </row>
    <row r="395" spans="8:12" ht="15.75" customHeight="1" x14ac:dyDescent="0.25">
      <c r="H395" s="5"/>
      <c r="K395" s="5"/>
      <c r="L395" s="5"/>
    </row>
    <row r="396" spans="8:12" ht="15.75" customHeight="1" x14ac:dyDescent="0.25">
      <c r="H396" s="5"/>
      <c r="K396" s="5"/>
      <c r="L396" s="5"/>
    </row>
    <row r="397" spans="8:12" ht="15.75" customHeight="1" x14ac:dyDescent="0.25">
      <c r="H397" s="5"/>
      <c r="K397" s="5"/>
      <c r="L397" s="5"/>
    </row>
    <row r="398" spans="8:12" ht="15.75" customHeight="1" x14ac:dyDescent="0.25">
      <c r="H398" s="5"/>
      <c r="K398" s="5"/>
      <c r="L398" s="5"/>
    </row>
    <row r="399" spans="8:12" ht="15.75" customHeight="1" x14ac:dyDescent="0.25">
      <c r="H399" s="5"/>
      <c r="K399" s="5"/>
      <c r="L399" s="5"/>
    </row>
    <row r="400" spans="8:12" ht="15.75" customHeight="1" x14ac:dyDescent="0.25">
      <c r="H400" s="5"/>
      <c r="K400" s="5"/>
      <c r="L400" s="5"/>
    </row>
    <row r="401" spans="8:12" ht="15.75" customHeight="1" x14ac:dyDescent="0.25">
      <c r="H401" s="5"/>
      <c r="K401" s="5"/>
      <c r="L401" s="5"/>
    </row>
    <row r="402" spans="8:12" ht="15.75" customHeight="1" x14ac:dyDescent="0.25">
      <c r="H402" s="5"/>
      <c r="K402" s="5"/>
      <c r="L402" s="5"/>
    </row>
    <row r="403" spans="8:12" ht="15.75" customHeight="1" x14ac:dyDescent="0.25">
      <c r="H403" s="5"/>
      <c r="K403" s="5"/>
      <c r="L403" s="5"/>
    </row>
    <row r="404" spans="8:12" ht="15.75" customHeight="1" x14ac:dyDescent="0.25">
      <c r="H404" s="5"/>
      <c r="K404" s="5"/>
      <c r="L404" s="5"/>
    </row>
    <row r="405" spans="8:12" ht="15.75" customHeight="1" x14ac:dyDescent="0.25">
      <c r="H405" s="5"/>
      <c r="K405" s="5"/>
      <c r="L405" s="5"/>
    </row>
    <row r="406" spans="8:12" ht="15.75" customHeight="1" x14ac:dyDescent="0.25">
      <c r="H406" s="5"/>
      <c r="K406" s="5"/>
      <c r="L406" s="5"/>
    </row>
    <row r="407" spans="8:12" ht="15.75" customHeight="1" x14ac:dyDescent="0.25">
      <c r="H407" s="5"/>
      <c r="K407" s="5"/>
      <c r="L407" s="5"/>
    </row>
    <row r="408" spans="8:12" ht="15.75" customHeight="1" x14ac:dyDescent="0.25">
      <c r="H408" s="5"/>
      <c r="K408" s="5"/>
      <c r="L408" s="5"/>
    </row>
    <row r="409" spans="8:12" ht="15.75" customHeight="1" x14ac:dyDescent="0.25">
      <c r="H409" s="5"/>
      <c r="K409" s="5"/>
      <c r="L409" s="5"/>
    </row>
    <row r="410" spans="8:12" ht="15.75" customHeight="1" x14ac:dyDescent="0.25">
      <c r="H410" s="5"/>
      <c r="K410" s="5"/>
      <c r="L410" s="5"/>
    </row>
    <row r="411" spans="8:12" ht="15.75" customHeight="1" x14ac:dyDescent="0.25">
      <c r="H411" s="5"/>
      <c r="K411" s="5"/>
      <c r="L411" s="5"/>
    </row>
    <row r="412" spans="8:12" ht="15.75" customHeight="1" x14ac:dyDescent="0.25">
      <c r="H412" s="5"/>
      <c r="K412" s="5"/>
      <c r="L412" s="5"/>
    </row>
    <row r="413" spans="8:12" ht="15.75" customHeight="1" x14ac:dyDescent="0.25">
      <c r="H413" s="5"/>
      <c r="K413" s="5"/>
      <c r="L413" s="5"/>
    </row>
    <row r="414" spans="8:12" ht="15.75" customHeight="1" x14ac:dyDescent="0.25">
      <c r="H414" s="5"/>
      <c r="K414" s="5"/>
      <c r="L414" s="5"/>
    </row>
    <row r="415" spans="8:12" ht="15.75" customHeight="1" x14ac:dyDescent="0.25">
      <c r="H415" s="5"/>
      <c r="K415" s="5"/>
      <c r="L415" s="5"/>
    </row>
    <row r="416" spans="8:12" ht="15.75" customHeight="1" x14ac:dyDescent="0.25">
      <c r="H416" s="5"/>
      <c r="K416" s="5"/>
      <c r="L416" s="5"/>
    </row>
    <row r="417" spans="8:12" ht="15.75" customHeight="1" x14ac:dyDescent="0.25">
      <c r="H417" s="5"/>
      <c r="K417" s="5"/>
      <c r="L417" s="5"/>
    </row>
    <row r="418" spans="8:12" ht="15.75" customHeight="1" x14ac:dyDescent="0.25">
      <c r="H418" s="5"/>
      <c r="K418" s="5"/>
      <c r="L418" s="5"/>
    </row>
    <row r="419" spans="8:12" ht="15.75" customHeight="1" x14ac:dyDescent="0.25">
      <c r="H419" s="5"/>
      <c r="K419" s="5"/>
      <c r="L419" s="5"/>
    </row>
    <row r="420" spans="8:12" ht="15.75" customHeight="1" x14ac:dyDescent="0.25">
      <c r="H420" s="5"/>
      <c r="K420" s="5"/>
      <c r="L420" s="5"/>
    </row>
    <row r="421" spans="8:12" ht="15.75" customHeight="1" x14ac:dyDescent="0.25">
      <c r="H421" s="5"/>
      <c r="K421" s="5"/>
      <c r="L421" s="5"/>
    </row>
    <row r="422" spans="8:12" ht="15.75" customHeight="1" x14ac:dyDescent="0.25">
      <c r="H422" s="5"/>
      <c r="K422" s="5"/>
      <c r="L422" s="5"/>
    </row>
    <row r="423" spans="8:12" ht="15.75" customHeight="1" x14ac:dyDescent="0.25">
      <c r="H423" s="5"/>
      <c r="K423" s="5"/>
      <c r="L423" s="5"/>
    </row>
    <row r="424" spans="8:12" ht="15.75" customHeight="1" x14ac:dyDescent="0.25">
      <c r="H424" s="5"/>
      <c r="K424" s="5"/>
      <c r="L424" s="5"/>
    </row>
    <row r="425" spans="8:12" ht="15.75" customHeight="1" x14ac:dyDescent="0.25">
      <c r="H425" s="5"/>
      <c r="K425" s="5"/>
      <c r="L425" s="5"/>
    </row>
    <row r="426" spans="8:12" ht="15.75" customHeight="1" x14ac:dyDescent="0.25">
      <c r="H426" s="5"/>
      <c r="K426" s="5"/>
      <c r="L426" s="5"/>
    </row>
    <row r="427" spans="8:12" ht="15.75" customHeight="1" x14ac:dyDescent="0.25">
      <c r="H427" s="5"/>
      <c r="K427" s="5"/>
      <c r="L427" s="5"/>
    </row>
    <row r="428" spans="8:12" ht="15.75" customHeight="1" x14ac:dyDescent="0.25">
      <c r="H428" s="5"/>
      <c r="K428" s="5"/>
      <c r="L428" s="5"/>
    </row>
    <row r="429" spans="8:12" ht="15.75" customHeight="1" x14ac:dyDescent="0.25">
      <c r="H429" s="5"/>
      <c r="K429" s="5"/>
      <c r="L429" s="5"/>
    </row>
    <row r="430" spans="8:12" ht="15.75" customHeight="1" x14ac:dyDescent="0.25">
      <c r="H430" s="5"/>
      <c r="K430" s="5"/>
      <c r="L430" s="5"/>
    </row>
    <row r="431" spans="8:12" ht="15.75" customHeight="1" x14ac:dyDescent="0.25">
      <c r="H431" s="5"/>
      <c r="K431" s="5"/>
      <c r="L431" s="5"/>
    </row>
    <row r="432" spans="8:12" ht="15.75" customHeight="1" x14ac:dyDescent="0.25">
      <c r="H432" s="5"/>
      <c r="K432" s="5"/>
      <c r="L432" s="5"/>
    </row>
    <row r="433" spans="8:12" ht="15.75" customHeight="1" x14ac:dyDescent="0.25">
      <c r="H433" s="5"/>
      <c r="K433" s="5"/>
      <c r="L433" s="5"/>
    </row>
    <row r="434" spans="8:12" ht="15.75" customHeight="1" x14ac:dyDescent="0.25">
      <c r="H434" s="5"/>
      <c r="K434" s="5"/>
      <c r="L434" s="5"/>
    </row>
    <row r="435" spans="8:12" ht="15.75" customHeight="1" x14ac:dyDescent="0.25">
      <c r="H435" s="5"/>
      <c r="K435" s="5"/>
      <c r="L435" s="5"/>
    </row>
    <row r="436" spans="8:12" ht="15.75" customHeight="1" x14ac:dyDescent="0.25">
      <c r="H436" s="5"/>
      <c r="K436" s="5"/>
      <c r="L436" s="5"/>
    </row>
    <row r="437" spans="8:12" ht="15.75" customHeight="1" x14ac:dyDescent="0.25">
      <c r="H437" s="5"/>
      <c r="K437" s="5"/>
      <c r="L437" s="5"/>
    </row>
    <row r="438" spans="8:12" ht="15.75" customHeight="1" x14ac:dyDescent="0.25">
      <c r="H438" s="5"/>
      <c r="K438" s="5"/>
      <c r="L438" s="5"/>
    </row>
    <row r="439" spans="8:12" ht="15.75" customHeight="1" x14ac:dyDescent="0.25">
      <c r="H439" s="5"/>
      <c r="K439" s="5"/>
      <c r="L439" s="5"/>
    </row>
    <row r="440" spans="8:12" ht="15.75" customHeight="1" x14ac:dyDescent="0.25">
      <c r="H440" s="5"/>
      <c r="K440" s="5"/>
      <c r="L440" s="5"/>
    </row>
    <row r="441" spans="8:12" ht="15.75" customHeight="1" x14ac:dyDescent="0.25">
      <c r="H441" s="5"/>
      <c r="K441" s="5"/>
      <c r="L441" s="5"/>
    </row>
    <row r="442" spans="8:12" ht="15.75" customHeight="1" x14ac:dyDescent="0.25">
      <c r="H442" s="5"/>
      <c r="K442" s="5"/>
      <c r="L442" s="5"/>
    </row>
    <row r="443" spans="8:12" ht="15.75" customHeight="1" x14ac:dyDescent="0.25">
      <c r="H443" s="5"/>
      <c r="K443" s="5"/>
      <c r="L443" s="5"/>
    </row>
    <row r="444" spans="8:12" ht="15.75" customHeight="1" x14ac:dyDescent="0.25">
      <c r="H444" s="5"/>
      <c r="K444" s="5"/>
      <c r="L444" s="5"/>
    </row>
    <row r="445" spans="8:12" ht="15.75" customHeight="1" x14ac:dyDescent="0.25">
      <c r="H445" s="5"/>
      <c r="K445" s="5"/>
      <c r="L445" s="5"/>
    </row>
    <row r="446" spans="8:12" ht="15.75" customHeight="1" x14ac:dyDescent="0.25">
      <c r="H446" s="5"/>
      <c r="K446" s="5"/>
      <c r="L446" s="5"/>
    </row>
    <row r="447" spans="8:12" ht="15.75" customHeight="1" x14ac:dyDescent="0.25">
      <c r="H447" s="5"/>
      <c r="K447" s="5"/>
      <c r="L447" s="5"/>
    </row>
    <row r="448" spans="8:12" ht="15.75" customHeight="1" x14ac:dyDescent="0.25">
      <c r="H448" s="5"/>
      <c r="K448" s="5"/>
      <c r="L448" s="5"/>
    </row>
    <row r="449" spans="8:12" ht="15.75" customHeight="1" x14ac:dyDescent="0.25">
      <c r="H449" s="5"/>
      <c r="K449" s="5"/>
      <c r="L449" s="5"/>
    </row>
    <row r="450" spans="8:12" ht="15.75" customHeight="1" x14ac:dyDescent="0.25">
      <c r="H450" s="5"/>
      <c r="K450" s="5"/>
      <c r="L450" s="5"/>
    </row>
    <row r="451" spans="8:12" ht="15.75" customHeight="1" x14ac:dyDescent="0.25">
      <c r="H451" s="5"/>
      <c r="K451" s="5"/>
      <c r="L451" s="5"/>
    </row>
    <row r="452" spans="8:12" ht="15.75" customHeight="1" x14ac:dyDescent="0.25">
      <c r="H452" s="5"/>
      <c r="K452" s="5"/>
      <c r="L452" s="5"/>
    </row>
    <row r="453" spans="8:12" ht="15.75" customHeight="1" x14ac:dyDescent="0.25">
      <c r="H453" s="5"/>
      <c r="K453" s="5"/>
      <c r="L453" s="5"/>
    </row>
    <row r="454" spans="8:12" ht="15.75" customHeight="1" x14ac:dyDescent="0.25">
      <c r="H454" s="5"/>
      <c r="K454" s="5"/>
      <c r="L454" s="5"/>
    </row>
    <row r="455" spans="8:12" ht="15.75" customHeight="1" x14ac:dyDescent="0.25">
      <c r="H455" s="5"/>
      <c r="K455" s="5"/>
      <c r="L455" s="5"/>
    </row>
    <row r="456" spans="8:12" ht="15.75" customHeight="1" x14ac:dyDescent="0.25">
      <c r="H456" s="5"/>
      <c r="K456" s="5"/>
      <c r="L456" s="5"/>
    </row>
    <row r="457" spans="8:12" ht="15.75" customHeight="1" x14ac:dyDescent="0.25">
      <c r="H457" s="5"/>
      <c r="K457" s="5"/>
      <c r="L457" s="5"/>
    </row>
    <row r="458" spans="8:12" ht="15.75" customHeight="1" x14ac:dyDescent="0.25">
      <c r="H458" s="5"/>
      <c r="K458" s="5"/>
      <c r="L458" s="5"/>
    </row>
    <row r="459" spans="8:12" ht="15.75" customHeight="1" x14ac:dyDescent="0.25">
      <c r="H459" s="5"/>
      <c r="K459" s="5"/>
      <c r="L459" s="5"/>
    </row>
    <row r="460" spans="8:12" ht="15.75" customHeight="1" x14ac:dyDescent="0.25">
      <c r="H460" s="5"/>
      <c r="K460" s="5"/>
      <c r="L460" s="5"/>
    </row>
    <row r="461" spans="8:12" ht="15.75" customHeight="1" x14ac:dyDescent="0.25">
      <c r="H461" s="5"/>
      <c r="K461" s="5"/>
      <c r="L461" s="5"/>
    </row>
    <row r="462" spans="8:12" ht="15.75" customHeight="1" x14ac:dyDescent="0.25">
      <c r="H462" s="5"/>
      <c r="K462" s="5"/>
      <c r="L462" s="5"/>
    </row>
    <row r="463" spans="8:12" ht="15.75" customHeight="1" x14ac:dyDescent="0.25">
      <c r="H463" s="5"/>
      <c r="K463" s="5"/>
      <c r="L463" s="5"/>
    </row>
    <row r="464" spans="8:12" ht="15.75" customHeight="1" x14ac:dyDescent="0.25">
      <c r="H464" s="5"/>
      <c r="K464" s="5"/>
      <c r="L464" s="5"/>
    </row>
    <row r="465" spans="8:12" ht="15.75" customHeight="1" x14ac:dyDescent="0.25">
      <c r="H465" s="5"/>
      <c r="K465" s="5"/>
      <c r="L465" s="5"/>
    </row>
    <row r="466" spans="8:12" ht="15.75" customHeight="1" x14ac:dyDescent="0.25">
      <c r="H466" s="5"/>
      <c r="K466" s="5"/>
      <c r="L466" s="5"/>
    </row>
    <row r="467" spans="8:12" ht="15.75" customHeight="1" x14ac:dyDescent="0.25">
      <c r="H467" s="5"/>
      <c r="K467" s="5"/>
      <c r="L467" s="5"/>
    </row>
    <row r="468" spans="8:12" ht="15.75" customHeight="1" x14ac:dyDescent="0.25">
      <c r="H468" s="5"/>
      <c r="K468" s="5"/>
      <c r="L468" s="5"/>
    </row>
    <row r="469" spans="8:12" ht="15.75" customHeight="1" x14ac:dyDescent="0.25">
      <c r="H469" s="5"/>
      <c r="K469" s="5"/>
      <c r="L469" s="5"/>
    </row>
    <row r="470" spans="8:12" ht="15.75" customHeight="1" x14ac:dyDescent="0.25">
      <c r="H470" s="5"/>
      <c r="K470" s="5"/>
      <c r="L470" s="5"/>
    </row>
    <row r="471" spans="8:12" ht="15.75" customHeight="1" x14ac:dyDescent="0.25">
      <c r="H471" s="5"/>
      <c r="K471" s="5"/>
      <c r="L471" s="5"/>
    </row>
    <row r="472" spans="8:12" ht="15.75" customHeight="1" x14ac:dyDescent="0.25">
      <c r="H472" s="5"/>
      <c r="K472" s="5"/>
      <c r="L472" s="5"/>
    </row>
    <row r="473" spans="8:12" ht="15.75" customHeight="1" x14ac:dyDescent="0.25">
      <c r="H473" s="5"/>
      <c r="K473" s="5"/>
      <c r="L473" s="5"/>
    </row>
    <row r="474" spans="8:12" ht="15.75" customHeight="1" x14ac:dyDescent="0.25">
      <c r="H474" s="5"/>
      <c r="K474" s="5"/>
      <c r="L474" s="5"/>
    </row>
    <row r="475" spans="8:12" ht="15.75" customHeight="1" x14ac:dyDescent="0.25">
      <c r="H475" s="5"/>
      <c r="K475" s="5"/>
      <c r="L475" s="5"/>
    </row>
    <row r="476" spans="8:12" ht="15.75" customHeight="1" x14ac:dyDescent="0.25">
      <c r="H476" s="5"/>
      <c r="K476" s="5"/>
      <c r="L476" s="5"/>
    </row>
    <row r="477" spans="8:12" ht="15.75" customHeight="1" x14ac:dyDescent="0.25">
      <c r="H477" s="5"/>
      <c r="K477" s="5"/>
      <c r="L477" s="5"/>
    </row>
    <row r="478" spans="8:12" ht="15.75" customHeight="1" x14ac:dyDescent="0.25">
      <c r="H478" s="5"/>
      <c r="K478" s="5"/>
      <c r="L478" s="5"/>
    </row>
    <row r="479" spans="8:12" ht="15.75" customHeight="1" x14ac:dyDescent="0.25">
      <c r="H479" s="5"/>
      <c r="K479" s="5"/>
      <c r="L479" s="5"/>
    </row>
    <row r="480" spans="8:12" ht="15.75" customHeight="1" x14ac:dyDescent="0.25">
      <c r="H480" s="5"/>
      <c r="K480" s="5"/>
      <c r="L480" s="5"/>
    </row>
    <row r="481" spans="8:12" ht="15.75" customHeight="1" x14ac:dyDescent="0.25">
      <c r="H481" s="5"/>
      <c r="K481" s="5"/>
      <c r="L481" s="5"/>
    </row>
    <row r="482" spans="8:12" ht="15.75" customHeight="1" x14ac:dyDescent="0.25">
      <c r="H482" s="5"/>
      <c r="K482" s="5"/>
      <c r="L482" s="5"/>
    </row>
    <row r="483" spans="8:12" ht="15.75" customHeight="1" x14ac:dyDescent="0.25">
      <c r="H483" s="5"/>
      <c r="K483" s="5"/>
      <c r="L483" s="5"/>
    </row>
    <row r="484" spans="8:12" ht="15.75" customHeight="1" x14ac:dyDescent="0.25">
      <c r="H484" s="5"/>
      <c r="K484" s="5"/>
      <c r="L484" s="5"/>
    </row>
    <row r="485" spans="8:12" ht="15.75" customHeight="1" x14ac:dyDescent="0.25">
      <c r="H485" s="5"/>
      <c r="K485" s="5"/>
      <c r="L485" s="5"/>
    </row>
    <row r="486" spans="8:12" ht="15.75" customHeight="1" x14ac:dyDescent="0.25">
      <c r="H486" s="5"/>
      <c r="K486" s="5"/>
      <c r="L486" s="5"/>
    </row>
    <row r="487" spans="8:12" ht="15.75" customHeight="1" x14ac:dyDescent="0.25">
      <c r="H487" s="5"/>
      <c r="K487" s="5"/>
      <c r="L487" s="5"/>
    </row>
    <row r="488" spans="8:12" ht="15.75" customHeight="1" x14ac:dyDescent="0.25">
      <c r="H488" s="5"/>
      <c r="K488" s="5"/>
      <c r="L488" s="5"/>
    </row>
    <row r="489" spans="8:12" ht="15.75" customHeight="1" x14ac:dyDescent="0.25">
      <c r="H489" s="5"/>
      <c r="K489" s="5"/>
      <c r="L489" s="5"/>
    </row>
    <row r="490" spans="8:12" ht="15.75" customHeight="1" x14ac:dyDescent="0.25">
      <c r="H490" s="5"/>
      <c r="K490" s="5"/>
      <c r="L490" s="5"/>
    </row>
    <row r="491" spans="8:12" ht="15.75" customHeight="1" x14ac:dyDescent="0.25">
      <c r="H491" s="5"/>
      <c r="K491" s="5"/>
      <c r="L491" s="5"/>
    </row>
    <row r="492" spans="8:12" ht="15.75" customHeight="1" x14ac:dyDescent="0.25">
      <c r="H492" s="5"/>
      <c r="K492" s="5"/>
      <c r="L492" s="5"/>
    </row>
    <row r="493" spans="8:12" ht="15.75" customHeight="1" x14ac:dyDescent="0.25">
      <c r="H493" s="5"/>
      <c r="K493" s="5"/>
      <c r="L493" s="5"/>
    </row>
    <row r="494" spans="8:12" ht="15.75" customHeight="1" x14ac:dyDescent="0.25">
      <c r="H494" s="5"/>
      <c r="K494" s="5"/>
      <c r="L494" s="5"/>
    </row>
    <row r="495" spans="8:12" ht="15.75" customHeight="1" x14ac:dyDescent="0.25">
      <c r="H495" s="5"/>
      <c r="K495" s="5"/>
      <c r="L495" s="5"/>
    </row>
    <row r="496" spans="8:12" ht="15.75" customHeight="1" x14ac:dyDescent="0.25">
      <c r="H496" s="5"/>
      <c r="K496" s="5"/>
      <c r="L496" s="5"/>
    </row>
    <row r="497" spans="8:12" ht="15.75" customHeight="1" x14ac:dyDescent="0.25">
      <c r="H497" s="5"/>
      <c r="K497" s="5"/>
      <c r="L497" s="5"/>
    </row>
    <row r="498" spans="8:12" ht="15.75" customHeight="1" x14ac:dyDescent="0.25">
      <c r="H498" s="5"/>
      <c r="K498" s="5"/>
      <c r="L498" s="5"/>
    </row>
    <row r="499" spans="8:12" ht="15.75" customHeight="1" x14ac:dyDescent="0.25">
      <c r="H499" s="5"/>
      <c r="K499" s="5"/>
      <c r="L499" s="5"/>
    </row>
    <row r="500" spans="8:12" ht="15.75" customHeight="1" x14ac:dyDescent="0.25">
      <c r="H500" s="5"/>
      <c r="K500" s="5"/>
      <c r="L500" s="5"/>
    </row>
    <row r="501" spans="8:12" ht="15.75" customHeight="1" x14ac:dyDescent="0.25">
      <c r="H501" s="5"/>
      <c r="K501" s="5"/>
      <c r="L501" s="5"/>
    </row>
    <row r="502" spans="8:12" ht="15.75" customHeight="1" x14ac:dyDescent="0.25">
      <c r="H502" s="5"/>
      <c r="K502" s="5"/>
      <c r="L502" s="5"/>
    </row>
    <row r="503" spans="8:12" ht="15.75" customHeight="1" x14ac:dyDescent="0.25">
      <c r="H503" s="5"/>
      <c r="K503" s="5"/>
      <c r="L503" s="5"/>
    </row>
    <row r="504" spans="8:12" ht="15.75" customHeight="1" x14ac:dyDescent="0.25">
      <c r="H504" s="5"/>
      <c r="K504" s="5"/>
      <c r="L504" s="5"/>
    </row>
    <row r="505" spans="8:12" ht="15.75" customHeight="1" x14ac:dyDescent="0.25">
      <c r="H505" s="5"/>
      <c r="K505" s="5"/>
      <c r="L505" s="5"/>
    </row>
    <row r="506" spans="8:12" ht="15.75" customHeight="1" x14ac:dyDescent="0.25">
      <c r="H506" s="5"/>
      <c r="K506" s="5"/>
      <c r="L506" s="5"/>
    </row>
    <row r="507" spans="8:12" ht="15.75" customHeight="1" x14ac:dyDescent="0.25">
      <c r="H507" s="5"/>
      <c r="K507" s="5"/>
      <c r="L507" s="5"/>
    </row>
    <row r="508" spans="8:12" ht="15.75" customHeight="1" x14ac:dyDescent="0.25">
      <c r="H508" s="5"/>
      <c r="K508" s="5"/>
      <c r="L508" s="5"/>
    </row>
    <row r="509" spans="8:12" ht="15.75" customHeight="1" x14ac:dyDescent="0.25">
      <c r="H509" s="5"/>
      <c r="K509" s="5"/>
      <c r="L509" s="5"/>
    </row>
    <row r="510" spans="8:12" ht="15.75" customHeight="1" x14ac:dyDescent="0.25">
      <c r="H510" s="5"/>
      <c r="K510" s="5"/>
      <c r="L510" s="5"/>
    </row>
    <row r="511" spans="8:12" ht="15.75" customHeight="1" x14ac:dyDescent="0.25">
      <c r="H511" s="5"/>
      <c r="K511" s="5"/>
      <c r="L511" s="5"/>
    </row>
    <row r="512" spans="8:12" ht="15.75" customHeight="1" x14ac:dyDescent="0.25">
      <c r="H512" s="5"/>
      <c r="K512" s="5"/>
      <c r="L512" s="5"/>
    </row>
    <row r="513" spans="8:12" ht="15.75" customHeight="1" x14ac:dyDescent="0.25">
      <c r="H513" s="5"/>
      <c r="K513" s="5"/>
      <c r="L513" s="5"/>
    </row>
    <row r="514" spans="8:12" ht="15.75" customHeight="1" x14ac:dyDescent="0.25">
      <c r="H514" s="5"/>
      <c r="K514" s="5"/>
      <c r="L514" s="5"/>
    </row>
    <row r="515" spans="8:12" ht="15.75" customHeight="1" x14ac:dyDescent="0.25">
      <c r="H515" s="5"/>
      <c r="K515" s="5"/>
      <c r="L515" s="5"/>
    </row>
    <row r="516" spans="8:12" ht="15.75" customHeight="1" x14ac:dyDescent="0.25">
      <c r="H516" s="5"/>
      <c r="K516" s="5"/>
      <c r="L516" s="5"/>
    </row>
    <row r="517" spans="8:12" ht="15.75" customHeight="1" x14ac:dyDescent="0.25">
      <c r="H517" s="5"/>
      <c r="K517" s="5"/>
      <c r="L517" s="5"/>
    </row>
    <row r="518" spans="8:12" ht="15.75" customHeight="1" x14ac:dyDescent="0.25">
      <c r="H518" s="5"/>
      <c r="K518" s="5"/>
      <c r="L518" s="5"/>
    </row>
    <row r="519" spans="8:12" ht="15.75" customHeight="1" x14ac:dyDescent="0.25">
      <c r="H519" s="5"/>
      <c r="K519" s="5"/>
      <c r="L519" s="5"/>
    </row>
    <row r="520" spans="8:12" ht="15.75" customHeight="1" x14ac:dyDescent="0.25">
      <c r="H520" s="5"/>
      <c r="K520" s="5"/>
      <c r="L520" s="5"/>
    </row>
    <row r="521" spans="8:12" ht="15.75" customHeight="1" x14ac:dyDescent="0.25">
      <c r="H521" s="5"/>
      <c r="K521" s="5"/>
      <c r="L521" s="5"/>
    </row>
    <row r="522" spans="8:12" ht="15.75" customHeight="1" x14ac:dyDescent="0.25">
      <c r="H522" s="5"/>
      <c r="K522" s="5"/>
      <c r="L522" s="5"/>
    </row>
    <row r="523" spans="8:12" ht="15.75" customHeight="1" x14ac:dyDescent="0.25">
      <c r="H523" s="5"/>
      <c r="K523" s="5"/>
      <c r="L523" s="5"/>
    </row>
    <row r="524" spans="8:12" ht="15.75" customHeight="1" x14ac:dyDescent="0.25">
      <c r="H524" s="5"/>
      <c r="K524" s="5"/>
      <c r="L524" s="5"/>
    </row>
    <row r="525" spans="8:12" ht="15.75" customHeight="1" x14ac:dyDescent="0.25">
      <c r="H525" s="5"/>
      <c r="K525" s="5"/>
      <c r="L525" s="5"/>
    </row>
    <row r="526" spans="8:12" ht="15.75" customHeight="1" x14ac:dyDescent="0.25">
      <c r="H526" s="5"/>
      <c r="K526" s="5"/>
      <c r="L526" s="5"/>
    </row>
    <row r="527" spans="8:12" ht="15.75" customHeight="1" x14ac:dyDescent="0.25">
      <c r="H527" s="5"/>
      <c r="K527" s="5"/>
      <c r="L527" s="5"/>
    </row>
    <row r="528" spans="8:12" ht="15.75" customHeight="1" x14ac:dyDescent="0.25">
      <c r="H528" s="5"/>
      <c r="K528" s="5"/>
      <c r="L528" s="5"/>
    </row>
    <row r="529" spans="8:12" ht="15.75" customHeight="1" x14ac:dyDescent="0.25">
      <c r="H529" s="5"/>
      <c r="K529" s="5"/>
      <c r="L529" s="5"/>
    </row>
    <row r="530" spans="8:12" ht="15.75" customHeight="1" x14ac:dyDescent="0.25">
      <c r="H530" s="5"/>
      <c r="K530" s="5"/>
      <c r="L530" s="5"/>
    </row>
    <row r="531" spans="8:12" ht="15.75" customHeight="1" x14ac:dyDescent="0.25">
      <c r="H531" s="5"/>
      <c r="K531" s="5"/>
      <c r="L531" s="5"/>
    </row>
    <row r="532" spans="8:12" ht="15.75" customHeight="1" x14ac:dyDescent="0.25">
      <c r="H532" s="5"/>
      <c r="K532" s="5"/>
      <c r="L532" s="5"/>
    </row>
    <row r="533" spans="8:12" ht="15.75" customHeight="1" x14ac:dyDescent="0.25">
      <c r="H533" s="5"/>
      <c r="K533" s="5"/>
      <c r="L533" s="5"/>
    </row>
    <row r="534" spans="8:12" ht="15.75" customHeight="1" x14ac:dyDescent="0.25">
      <c r="H534" s="5"/>
      <c r="K534" s="5"/>
      <c r="L534" s="5"/>
    </row>
    <row r="535" spans="8:12" ht="15.75" customHeight="1" x14ac:dyDescent="0.25">
      <c r="H535" s="5"/>
      <c r="K535" s="5"/>
      <c r="L535" s="5"/>
    </row>
    <row r="536" spans="8:12" ht="15.75" customHeight="1" x14ac:dyDescent="0.25">
      <c r="H536" s="5"/>
      <c r="K536" s="5"/>
      <c r="L536" s="5"/>
    </row>
    <row r="537" spans="8:12" ht="15.75" customHeight="1" x14ac:dyDescent="0.25">
      <c r="H537" s="5"/>
      <c r="K537" s="5"/>
      <c r="L537" s="5"/>
    </row>
    <row r="538" spans="8:12" ht="15.75" customHeight="1" x14ac:dyDescent="0.25">
      <c r="H538" s="5"/>
      <c r="K538" s="5"/>
      <c r="L538" s="5"/>
    </row>
    <row r="539" spans="8:12" ht="15.75" customHeight="1" x14ac:dyDescent="0.25">
      <c r="H539" s="5"/>
      <c r="K539" s="5"/>
      <c r="L539" s="5"/>
    </row>
    <row r="540" spans="8:12" ht="15.75" customHeight="1" x14ac:dyDescent="0.25">
      <c r="H540" s="5"/>
      <c r="K540" s="5"/>
      <c r="L540" s="5"/>
    </row>
    <row r="541" spans="8:12" ht="15.75" customHeight="1" x14ac:dyDescent="0.25">
      <c r="H541" s="5"/>
      <c r="K541" s="5"/>
      <c r="L541" s="5"/>
    </row>
    <row r="542" spans="8:12" ht="15.75" customHeight="1" x14ac:dyDescent="0.25">
      <c r="H542" s="5"/>
      <c r="K542" s="5"/>
      <c r="L542" s="5"/>
    </row>
    <row r="543" spans="8:12" ht="15.75" customHeight="1" x14ac:dyDescent="0.25">
      <c r="H543" s="5"/>
      <c r="K543" s="5"/>
      <c r="L543" s="5"/>
    </row>
    <row r="544" spans="8:12" ht="15.75" customHeight="1" x14ac:dyDescent="0.25">
      <c r="H544" s="5"/>
      <c r="K544" s="5"/>
      <c r="L544" s="5"/>
    </row>
    <row r="545" spans="8:12" ht="15.75" customHeight="1" x14ac:dyDescent="0.25">
      <c r="H545" s="5"/>
      <c r="K545" s="5"/>
      <c r="L545" s="5"/>
    </row>
    <row r="546" spans="8:12" ht="15.75" customHeight="1" x14ac:dyDescent="0.25">
      <c r="H546" s="5"/>
      <c r="K546" s="5"/>
      <c r="L546" s="5"/>
    </row>
    <row r="547" spans="8:12" ht="15.75" customHeight="1" x14ac:dyDescent="0.25">
      <c r="H547" s="5"/>
      <c r="K547" s="5"/>
      <c r="L547" s="5"/>
    </row>
    <row r="548" spans="8:12" ht="15.75" customHeight="1" x14ac:dyDescent="0.25">
      <c r="H548" s="5"/>
      <c r="K548" s="5"/>
      <c r="L548" s="5"/>
    </row>
    <row r="549" spans="8:12" ht="15.75" customHeight="1" x14ac:dyDescent="0.25">
      <c r="H549" s="5"/>
      <c r="K549" s="5"/>
      <c r="L549" s="5"/>
    </row>
    <row r="550" spans="8:12" ht="15.75" customHeight="1" x14ac:dyDescent="0.25">
      <c r="H550" s="5"/>
      <c r="K550" s="5"/>
      <c r="L550" s="5"/>
    </row>
    <row r="551" spans="8:12" ht="15.75" customHeight="1" x14ac:dyDescent="0.25">
      <c r="H551" s="5"/>
      <c r="K551" s="5"/>
      <c r="L551" s="5"/>
    </row>
    <row r="552" spans="8:12" ht="15.75" customHeight="1" x14ac:dyDescent="0.25">
      <c r="H552" s="5"/>
      <c r="K552" s="5"/>
      <c r="L552" s="5"/>
    </row>
    <row r="553" spans="8:12" ht="15.75" customHeight="1" x14ac:dyDescent="0.25">
      <c r="H553" s="5"/>
      <c r="K553" s="5"/>
      <c r="L553" s="5"/>
    </row>
    <row r="554" spans="8:12" ht="15.75" customHeight="1" x14ac:dyDescent="0.25">
      <c r="H554" s="5"/>
      <c r="K554" s="5"/>
      <c r="L554" s="5"/>
    </row>
    <row r="555" spans="8:12" ht="15.75" customHeight="1" x14ac:dyDescent="0.25">
      <c r="H555" s="5"/>
      <c r="K555" s="5"/>
      <c r="L555" s="5"/>
    </row>
    <row r="556" spans="8:12" ht="15.75" customHeight="1" x14ac:dyDescent="0.25">
      <c r="H556" s="5"/>
      <c r="K556" s="5"/>
      <c r="L556" s="5"/>
    </row>
    <row r="557" spans="8:12" ht="15.75" customHeight="1" x14ac:dyDescent="0.25">
      <c r="H557" s="5"/>
      <c r="K557" s="5"/>
      <c r="L557" s="5"/>
    </row>
    <row r="558" spans="8:12" ht="15.75" customHeight="1" x14ac:dyDescent="0.25">
      <c r="H558" s="5"/>
      <c r="K558" s="5"/>
      <c r="L558" s="5"/>
    </row>
    <row r="559" spans="8:12" ht="15.75" customHeight="1" x14ac:dyDescent="0.25">
      <c r="H559" s="5"/>
      <c r="K559" s="5"/>
      <c r="L559" s="5"/>
    </row>
    <row r="560" spans="8:12" ht="15.75" customHeight="1" x14ac:dyDescent="0.25">
      <c r="H560" s="5"/>
      <c r="K560" s="5"/>
      <c r="L560" s="5"/>
    </row>
    <row r="561" spans="8:12" ht="15.75" customHeight="1" x14ac:dyDescent="0.25">
      <c r="H561" s="5"/>
      <c r="K561" s="5"/>
      <c r="L561" s="5"/>
    </row>
    <row r="562" spans="8:12" ht="15.75" customHeight="1" x14ac:dyDescent="0.25">
      <c r="H562" s="5"/>
      <c r="K562" s="5"/>
      <c r="L562" s="5"/>
    </row>
    <row r="563" spans="8:12" ht="15.75" customHeight="1" x14ac:dyDescent="0.25">
      <c r="H563" s="5"/>
      <c r="K563" s="5"/>
      <c r="L563" s="5"/>
    </row>
    <row r="564" spans="8:12" ht="15.75" customHeight="1" x14ac:dyDescent="0.25">
      <c r="H564" s="5"/>
      <c r="K564" s="5"/>
      <c r="L564" s="5"/>
    </row>
    <row r="565" spans="8:12" ht="15.75" customHeight="1" x14ac:dyDescent="0.25">
      <c r="H565" s="5"/>
      <c r="K565" s="5"/>
      <c r="L565" s="5"/>
    </row>
    <row r="566" spans="8:12" ht="15.75" customHeight="1" x14ac:dyDescent="0.25">
      <c r="H566" s="5"/>
      <c r="K566" s="5"/>
      <c r="L566" s="5"/>
    </row>
    <row r="567" spans="8:12" ht="15.75" customHeight="1" x14ac:dyDescent="0.25">
      <c r="H567" s="5"/>
      <c r="K567" s="5"/>
      <c r="L567" s="5"/>
    </row>
    <row r="568" spans="8:12" ht="15.75" customHeight="1" x14ac:dyDescent="0.25">
      <c r="H568" s="5"/>
      <c r="K568" s="5"/>
      <c r="L568" s="5"/>
    </row>
    <row r="569" spans="8:12" ht="15.75" customHeight="1" x14ac:dyDescent="0.25">
      <c r="H569" s="5"/>
      <c r="K569" s="5"/>
      <c r="L569" s="5"/>
    </row>
    <row r="570" spans="8:12" ht="15.75" customHeight="1" x14ac:dyDescent="0.25">
      <c r="H570" s="5"/>
      <c r="K570" s="5"/>
      <c r="L570" s="5"/>
    </row>
    <row r="571" spans="8:12" ht="15.75" customHeight="1" x14ac:dyDescent="0.25">
      <c r="H571" s="5"/>
      <c r="K571" s="5"/>
      <c r="L571" s="5"/>
    </row>
    <row r="572" spans="8:12" ht="15.75" customHeight="1" x14ac:dyDescent="0.25">
      <c r="H572" s="5"/>
      <c r="K572" s="5"/>
      <c r="L572" s="5"/>
    </row>
    <row r="573" spans="8:12" ht="15.75" customHeight="1" x14ac:dyDescent="0.25">
      <c r="H573" s="5"/>
      <c r="K573" s="5"/>
      <c r="L573" s="5"/>
    </row>
    <row r="574" spans="8:12" ht="15.75" customHeight="1" x14ac:dyDescent="0.25">
      <c r="H574" s="5"/>
      <c r="K574" s="5"/>
      <c r="L574" s="5"/>
    </row>
    <row r="575" spans="8:12" ht="15.75" customHeight="1" x14ac:dyDescent="0.25">
      <c r="H575" s="5"/>
      <c r="K575" s="5"/>
      <c r="L575" s="5"/>
    </row>
    <row r="576" spans="8:12" ht="15.75" customHeight="1" x14ac:dyDescent="0.25">
      <c r="H576" s="5"/>
      <c r="K576" s="5"/>
      <c r="L576" s="5"/>
    </row>
    <row r="577" spans="8:12" ht="15.75" customHeight="1" x14ac:dyDescent="0.25">
      <c r="H577" s="5"/>
      <c r="K577" s="5"/>
      <c r="L577" s="5"/>
    </row>
    <row r="578" spans="8:12" ht="15.75" customHeight="1" x14ac:dyDescent="0.25">
      <c r="H578" s="5"/>
      <c r="K578" s="5"/>
      <c r="L578" s="5"/>
    </row>
    <row r="579" spans="8:12" ht="15.75" customHeight="1" x14ac:dyDescent="0.25">
      <c r="H579" s="5"/>
      <c r="K579" s="5"/>
      <c r="L579" s="5"/>
    </row>
    <row r="580" spans="8:12" ht="15.75" customHeight="1" x14ac:dyDescent="0.25">
      <c r="H580" s="5"/>
      <c r="K580" s="5"/>
      <c r="L580" s="5"/>
    </row>
    <row r="581" spans="8:12" ht="15.75" customHeight="1" x14ac:dyDescent="0.25">
      <c r="H581" s="5"/>
      <c r="K581" s="5"/>
      <c r="L581" s="5"/>
    </row>
    <row r="582" spans="8:12" ht="15.75" customHeight="1" x14ac:dyDescent="0.25">
      <c r="H582" s="5"/>
      <c r="K582" s="5"/>
      <c r="L582" s="5"/>
    </row>
    <row r="583" spans="8:12" ht="15.75" customHeight="1" x14ac:dyDescent="0.25">
      <c r="H583" s="5"/>
      <c r="K583" s="5"/>
      <c r="L583" s="5"/>
    </row>
    <row r="584" spans="8:12" ht="15.75" customHeight="1" x14ac:dyDescent="0.25">
      <c r="H584" s="5"/>
      <c r="K584" s="5"/>
      <c r="L584" s="5"/>
    </row>
    <row r="585" spans="8:12" ht="15.75" customHeight="1" x14ac:dyDescent="0.25">
      <c r="H585" s="5"/>
      <c r="K585" s="5"/>
      <c r="L585" s="5"/>
    </row>
    <row r="586" spans="8:12" ht="15.75" customHeight="1" x14ac:dyDescent="0.25">
      <c r="H586" s="5"/>
      <c r="K586" s="5"/>
      <c r="L586" s="5"/>
    </row>
    <row r="587" spans="8:12" ht="15.75" customHeight="1" x14ac:dyDescent="0.25">
      <c r="H587" s="5"/>
      <c r="K587" s="5"/>
      <c r="L587" s="5"/>
    </row>
    <row r="588" spans="8:12" ht="15.75" customHeight="1" x14ac:dyDescent="0.25">
      <c r="H588" s="5"/>
      <c r="K588" s="5"/>
      <c r="L588" s="5"/>
    </row>
    <row r="589" spans="8:12" ht="15.75" customHeight="1" x14ac:dyDescent="0.25">
      <c r="H589" s="5"/>
      <c r="K589" s="5"/>
      <c r="L589" s="5"/>
    </row>
    <row r="590" spans="8:12" ht="15.75" customHeight="1" x14ac:dyDescent="0.25">
      <c r="H590" s="5"/>
      <c r="K590" s="5"/>
      <c r="L590" s="5"/>
    </row>
    <row r="591" spans="8:12" ht="15.75" customHeight="1" x14ac:dyDescent="0.25">
      <c r="H591" s="5"/>
      <c r="K591" s="5"/>
      <c r="L591" s="5"/>
    </row>
    <row r="592" spans="8:12" ht="15.75" customHeight="1" x14ac:dyDescent="0.25">
      <c r="H592" s="5"/>
      <c r="K592" s="5"/>
      <c r="L592" s="5"/>
    </row>
    <row r="593" spans="8:12" ht="15.75" customHeight="1" x14ac:dyDescent="0.25">
      <c r="H593" s="5"/>
      <c r="K593" s="5"/>
      <c r="L593" s="5"/>
    </row>
    <row r="594" spans="8:12" ht="15.75" customHeight="1" x14ac:dyDescent="0.25">
      <c r="H594" s="5"/>
      <c r="K594" s="5"/>
      <c r="L594" s="5"/>
    </row>
    <row r="595" spans="8:12" ht="15.75" customHeight="1" x14ac:dyDescent="0.25">
      <c r="H595" s="5"/>
      <c r="K595" s="5"/>
      <c r="L595" s="5"/>
    </row>
    <row r="596" spans="8:12" ht="15.75" customHeight="1" x14ac:dyDescent="0.25">
      <c r="H596" s="5"/>
      <c r="K596" s="5"/>
      <c r="L596" s="5"/>
    </row>
    <row r="597" spans="8:12" ht="15.75" customHeight="1" x14ac:dyDescent="0.25">
      <c r="H597" s="5"/>
      <c r="K597" s="5"/>
      <c r="L597" s="5"/>
    </row>
    <row r="598" spans="8:12" ht="15.75" customHeight="1" x14ac:dyDescent="0.25">
      <c r="H598" s="5"/>
      <c r="K598" s="5"/>
      <c r="L598" s="5"/>
    </row>
    <row r="599" spans="8:12" ht="15.75" customHeight="1" x14ac:dyDescent="0.25">
      <c r="H599" s="5"/>
      <c r="K599" s="5"/>
      <c r="L599" s="5"/>
    </row>
    <row r="600" spans="8:12" ht="15.75" customHeight="1" x14ac:dyDescent="0.25">
      <c r="H600" s="5"/>
      <c r="K600" s="5"/>
      <c r="L600" s="5"/>
    </row>
    <row r="601" spans="8:12" ht="15.75" customHeight="1" x14ac:dyDescent="0.25">
      <c r="H601" s="5"/>
      <c r="K601" s="5"/>
      <c r="L601" s="5"/>
    </row>
    <row r="602" spans="8:12" ht="15.75" customHeight="1" x14ac:dyDescent="0.25">
      <c r="H602" s="5"/>
      <c r="K602" s="5"/>
      <c r="L602" s="5"/>
    </row>
    <row r="603" spans="8:12" ht="15.75" customHeight="1" x14ac:dyDescent="0.25">
      <c r="H603" s="5"/>
      <c r="K603" s="5"/>
      <c r="L603" s="5"/>
    </row>
    <row r="604" spans="8:12" ht="15.75" customHeight="1" x14ac:dyDescent="0.25">
      <c r="H604" s="5"/>
      <c r="K604" s="5"/>
      <c r="L604" s="5"/>
    </row>
    <row r="605" spans="8:12" ht="15.75" customHeight="1" x14ac:dyDescent="0.25">
      <c r="H605" s="5"/>
      <c r="K605" s="5"/>
      <c r="L605" s="5"/>
    </row>
    <row r="606" spans="8:12" ht="15.75" customHeight="1" x14ac:dyDescent="0.25">
      <c r="H606" s="5"/>
      <c r="K606" s="5"/>
      <c r="L606" s="5"/>
    </row>
    <row r="607" spans="8:12" ht="15.75" customHeight="1" x14ac:dyDescent="0.25">
      <c r="H607" s="5"/>
      <c r="K607" s="5"/>
      <c r="L607" s="5"/>
    </row>
    <row r="608" spans="8:12" ht="15.75" customHeight="1" x14ac:dyDescent="0.25">
      <c r="H608" s="5"/>
      <c r="K608" s="5"/>
      <c r="L608" s="5"/>
    </row>
    <row r="609" spans="8:12" ht="15.75" customHeight="1" x14ac:dyDescent="0.25">
      <c r="H609" s="5"/>
      <c r="K609" s="5"/>
      <c r="L609" s="5"/>
    </row>
    <row r="610" spans="8:12" ht="15.75" customHeight="1" x14ac:dyDescent="0.25">
      <c r="H610" s="5"/>
      <c r="K610" s="5"/>
      <c r="L610" s="5"/>
    </row>
    <row r="611" spans="8:12" ht="15.75" customHeight="1" x14ac:dyDescent="0.25">
      <c r="H611" s="5"/>
      <c r="K611" s="5"/>
      <c r="L611" s="5"/>
    </row>
    <row r="612" spans="8:12" ht="15.75" customHeight="1" x14ac:dyDescent="0.25">
      <c r="H612" s="5"/>
      <c r="K612" s="5"/>
      <c r="L612" s="5"/>
    </row>
    <row r="613" spans="8:12" ht="15.75" customHeight="1" x14ac:dyDescent="0.25">
      <c r="H613" s="5"/>
      <c r="K613" s="5"/>
      <c r="L613" s="5"/>
    </row>
    <row r="614" spans="8:12" ht="15.75" customHeight="1" x14ac:dyDescent="0.25">
      <c r="H614" s="5"/>
      <c r="K614" s="5"/>
      <c r="L614" s="5"/>
    </row>
    <row r="615" spans="8:12" ht="15.75" customHeight="1" x14ac:dyDescent="0.25">
      <c r="H615" s="5"/>
      <c r="K615" s="5"/>
      <c r="L615" s="5"/>
    </row>
    <row r="616" spans="8:12" ht="15.75" customHeight="1" x14ac:dyDescent="0.25">
      <c r="H616" s="5"/>
      <c r="K616" s="5"/>
      <c r="L616" s="5"/>
    </row>
    <row r="617" spans="8:12" ht="15.75" customHeight="1" x14ac:dyDescent="0.25">
      <c r="H617" s="5"/>
      <c r="K617" s="5"/>
      <c r="L617" s="5"/>
    </row>
    <row r="618" spans="8:12" ht="15.75" customHeight="1" x14ac:dyDescent="0.25">
      <c r="H618" s="5"/>
      <c r="K618" s="5"/>
      <c r="L618" s="5"/>
    </row>
    <row r="619" spans="8:12" ht="15.75" customHeight="1" x14ac:dyDescent="0.25">
      <c r="H619" s="5"/>
      <c r="K619" s="5"/>
      <c r="L619" s="5"/>
    </row>
    <row r="620" spans="8:12" ht="15.75" customHeight="1" x14ac:dyDescent="0.25">
      <c r="H620" s="5"/>
      <c r="K620" s="5"/>
      <c r="L620" s="5"/>
    </row>
    <row r="621" spans="8:12" ht="15.75" customHeight="1" x14ac:dyDescent="0.25">
      <c r="H621" s="5"/>
      <c r="K621" s="5"/>
      <c r="L621" s="5"/>
    </row>
    <row r="622" spans="8:12" ht="15.75" customHeight="1" x14ac:dyDescent="0.25">
      <c r="H622" s="5"/>
      <c r="K622" s="5"/>
      <c r="L622" s="5"/>
    </row>
    <row r="623" spans="8:12" ht="15.75" customHeight="1" x14ac:dyDescent="0.25">
      <c r="H623" s="5"/>
      <c r="K623" s="5"/>
      <c r="L623" s="5"/>
    </row>
    <row r="624" spans="8:12" ht="15.75" customHeight="1" x14ac:dyDescent="0.25">
      <c r="H624" s="5"/>
      <c r="K624" s="5"/>
      <c r="L624" s="5"/>
    </row>
    <row r="625" spans="8:12" ht="15.75" customHeight="1" x14ac:dyDescent="0.25">
      <c r="H625" s="5"/>
      <c r="K625" s="5"/>
      <c r="L625" s="5"/>
    </row>
    <row r="626" spans="8:12" ht="15.75" customHeight="1" x14ac:dyDescent="0.25">
      <c r="H626" s="5"/>
      <c r="K626" s="5"/>
      <c r="L626" s="5"/>
    </row>
    <row r="627" spans="8:12" ht="15.75" customHeight="1" x14ac:dyDescent="0.25">
      <c r="H627" s="5"/>
      <c r="K627" s="5"/>
      <c r="L627" s="5"/>
    </row>
    <row r="628" spans="8:12" ht="15.75" customHeight="1" x14ac:dyDescent="0.25">
      <c r="H628" s="5"/>
      <c r="K628" s="5"/>
      <c r="L628" s="5"/>
    </row>
    <row r="629" spans="8:12" ht="15.75" customHeight="1" x14ac:dyDescent="0.25">
      <c r="H629" s="5"/>
      <c r="K629" s="5"/>
      <c r="L629" s="5"/>
    </row>
    <row r="630" spans="8:12" ht="15.75" customHeight="1" x14ac:dyDescent="0.25">
      <c r="H630" s="5"/>
      <c r="K630" s="5"/>
      <c r="L630" s="5"/>
    </row>
    <row r="631" spans="8:12" ht="15.75" customHeight="1" x14ac:dyDescent="0.25">
      <c r="H631" s="5"/>
      <c r="K631" s="5"/>
      <c r="L631" s="5"/>
    </row>
    <row r="632" spans="8:12" ht="15.75" customHeight="1" x14ac:dyDescent="0.25">
      <c r="H632" s="5"/>
      <c r="K632" s="5"/>
      <c r="L632" s="5"/>
    </row>
    <row r="633" spans="8:12" ht="15.75" customHeight="1" x14ac:dyDescent="0.25">
      <c r="H633" s="5"/>
      <c r="K633" s="5"/>
      <c r="L633" s="5"/>
    </row>
    <row r="634" spans="8:12" ht="15.75" customHeight="1" x14ac:dyDescent="0.25">
      <c r="H634" s="5"/>
      <c r="K634" s="5"/>
      <c r="L634" s="5"/>
    </row>
    <row r="635" spans="8:12" ht="15.75" customHeight="1" x14ac:dyDescent="0.25">
      <c r="H635" s="5"/>
      <c r="K635" s="5"/>
      <c r="L635" s="5"/>
    </row>
    <row r="636" spans="8:12" ht="15.75" customHeight="1" x14ac:dyDescent="0.25">
      <c r="H636" s="5"/>
      <c r="K636" s="5"/>
      <c r="L636" s="5"/>
    </row>
    <row r="637" spans="8:12" ht="15.75" customHeight="1" x14ac:dyDescent="0.25">
      <c r="H637" s="5"/>
      <c r="K637" s="5"/>
      <c r="L637" s="5"/>
    </row>
    <row r="638" spans="8:12" ht="15.75" customHeight="1" x14ac:dyDescent="0.25">
      <c r="H638" s="5"/>
      <c r="K638" s="5"/>
      <c r="L638" s="5"/>
    </row>
    <row r="639" spans="8:12" ht="15.75" customHeight="1" x14ac:dyDescent="0.25">
      <c r="H639" s="5"/>
      <c r="K639" s="5"/>
      <c r="L639" s="5"/>
    </row>
    <row r="640" spans="8:12" ht="15.75" customHeight="1" x14ac:dyDescent="0.25">
      <c r="H640" s="5"/>
      <c r="K640" s="5"/>
      <c r="L640" s="5"/>
    </row>
    <row r="641" spans="8:12" ht="15.75" customHeight="1" x14ac:dyDescent="0.25">
      <c r="H641" s="5"/>
      <c r="K641" s="5"/>
      <c r="L641" s="5"/>
    </row>
    <row r="642" spans="8:12" ht="15.75" customHeight="1" x14ac:dyDescent="0.25">
      <c r="H642" s="5"/>
      <c r="K642" s="5"/>
      <c r="L642" s="5"/>
    </row>
    <row r="643" spans="8:12" ht="15.75" customHeight="1" x14ac:dyDescent="0.25">
      <c r="H643" s="5"/>
      <c r="K643" s="5"/>
      <c r="L643" s="5"/>
    </row>
    <row r="644" spans="8:12" ht="15.75" customHeight="1" x14ac:dyDescent="0.25">
      <c r="H644" s="5"/>
      <c r="K644" s="5"/>
      <c r="L644" s="5"/>
    </row>
    <row r="645" spans="8:12" ht="15.75" customHeight="1" x14ac:dyDescent="0.25">
      <c r="H645" s="5"/>
      <c r="K645" s="5"/>
      <c r="L645" s="5"/>
    </row>
    <row r="646" spans="8:12" ht="15.75" customHeight="1" x14ac:dyDescent="0.25">
      <c r="H646" s="5"/>
      <c r="K646" s="5"/>
      <c r="L646" s="5"/>
    </row>
    <row r="647" spans="8:12" ht="15.75" customHeight="1" x14ac:dyDescent="0.25">
      <c r="H647" s="5"/>
      <c r="K647" s="5"/>
      <c r="L647" s="5"/>
    </row>
    <row r="648" spans="8:12" ht="15.75" customHeight="1" x14ac:dyDescent="0.25">
      <c r="H648" s="5"/>
      <c r="K648" s="5"/>
      <c r="L648" s="5"/>
    </row>
    <row r="649" spans="8:12" ht="15.75" customHeight="1" x14ac:dyDescent="0.25">
      <c r="H649" s="5"/>
      <c r="K649" s="5"/>
      <c r="L649" s="5"/>
    </row>
    <row r="650" spans="8:12" ht="15.75" customHeight="1" x14ac:dyDescent="0.25">
      <c r="H650" s="5"/>
      <c r="K650" s="5"/>
      <c r="L650" s="5"/>
    </row>
    <row r="651" spans="8:12" ht="15.75" customHeight="1" x14ac:dyDescent="0.25">
      <c r="H651" s="5"/>
      <c r="K651" s="5"/>
      <c r="L651" s="5"/>
    </row>
    <row r="652" spans="8:12" ht="15.75" customHeight="1" x14ac:dyDescent="0.25">
      <c r="H652" s="5"/>
      <c r="K652" s="5"/>
      <c r="L652" s="5"/>
    </row>
    <row r="653" spans="8:12" ht="15.75" customHeight="1" x14ac:dyDescent="0.25">
      <c r="H653" s="5"/>
      <c r="K653" s="5"/>
      <c r="L653" s="5"/>
    </row>
    <row r="654" spans="8:12" ht="15.75" customHeight="1" x14ac:dyDescent="0.25">
      <c r="H654" s="5"/>
      <c r="K654" s="5"/>
      <c r="L654" s="5"/>
    </row>
    <row r="655" spans="8:12" ht="15.75" customHeight="1" x14ac:dyDescent="0.25">
      <c r="H655" s="5"/>
      <c r="K655" s="5"/>
      <c r="L655" s="5"/>
    </row>
    <row r="656" spans="8:12" ht="15.75" customHeight="1" x14ac:dyDescent="0.25">
      <c r="H656" s="5"/>
      <c r="K656" s="5"/>
      <c r="L656" s="5"/>
    </row>
    <row r="657" spans="8:12" ht="15.75" customHeight="1" x14ac:dyDescent="0.25">
      <c r="H657" s="5"/>
      <c r="K657" s="5"/>
      <c r="L657" s="5"/>
    </row>
    <row r="658" spans="8:12" ht="15.75" customHeight="1" x14ac:dyDescent="0.25">
      <c r="H658" s="5"/>
      <c r="K658" s="5"/>
      <c r="L658" s="5"/>
    </row>
    <row r="659" spans="8:12" ht="15.75" customHeight="1" x14ac:dyDescent="0.25">
      <c r="H659" s="5"/>
      <c r="K659" s="5"/>
      <c r="L659" s="5"/>
    </row>
    <row r="660" spans="8:12" ht="15.75" customHeight="1" x14ac:dyDescent="0.25">
      <c r="H660" s="5"/>
      <c r="K660" s="5"/>
      <c r="L660" s="5"/>
    </row>
    <row r="661" spans="8:12" ht="15.75" customHeight="1" x14ac:dyDescent="0.25">
      <c r="H661" s="5"/>
      <c r="K661" s="5"/>
      <c r="L661" s="5"/>
    </row>
    <row r="662" spans="8:12" ht="15.75" customHeight="1" x14ac:dyDescent="0.25">
      <c r="H662" s="5"/>
      <c r="K662" s="5"/>
      <c r="L662" s="5"/>
    </row>
    <row r="663" spans="8:12" ht="15.75" customHeight="1" x14ac:dyDescent="0.25">
      <c r="H663" s="5"/>
      <c r="K663" s="5"/>
      <c r="L663" s="5"/>
    </row>
    <row r="664" spans="8:12" ht="15.75" customHeight="1" x14ac:dyDescent="0.25">
      <c r="H664" s="5"/>
      <c r="K664" s="5"/>
      <c r="L664" s="5"/>
    </row>
    <row r="665" spans="8:12" ht="15.75" customHeight="1" x14ac:dyDescent="0.25">
      <c r="H665" s="5"/>
      <c r="K665" s="5"/>
      <c r="L665" s="5"/>
    </row>
    <row r="666" spans="8:12" ht="15.75" customHeight="1" x14ac:dyDescent="0.25">
      <c r="H666" s="5"/>
      <c r="K666" s="5"/>
      <c r="L666" s="5"/>
    </row>
    <row r="667" spans="8:12" ht="15.75" customHeight="1" x14ac:dyDescent="0.25">
      <c r="H667" s="5"/>
      <c r="K667" s="5"/>
      <c r="L667" s="5"/>
    </row>
    <row r="668" spans="8:12" ht="15.75" customHeight="1" x14ac:dyDescent="0.25">
      <c r="H668" s="5"/>
      <c r="K668" s="5"/>
      <c r="L668" s="5"/>
    </row>
    <row r="669" spans="8:12" ht="15.75" customHeight="1" x14ac:dyDescent="0.25">
      <c r="H669" s="5"/>
      <c r="K669" s="5"/>
      <c r="L669" s="5"/>
    </row>
    <row r="670" spans="8:12" ht="15.75" customHeight="1" x14ac:dyDescent="0.25">
      <c r="H670" s="5"/>
      <c r="K670" s="5"/>
      <c r="L670" s="5"/>
    </row>
    <row r="671" spans="8:12" ht="15.75" customHeight="1" x14ac:dyDescent="0.25">
      <c r="H671" s="5"/>
      <c r="K671" s="5"/>
      <c r="L671" s="5"/>
    </row>
    <row r="672" spans="8:12" ht="15.75" customHeight="1" x14ac:dyDescent="0.25">
      <c r="H672" s="5"/>
      <c r="K672" s="5"/>
      <c r="L672" s="5"/>
    </row>
    <row r="673" spans="8:12" ht="15.75" customHeight="1" x14ac:dyDescent="0.25">
      <c r="H673" s="5"/>
      <c r="K673" s="5"/>
      <c r="L673" s="5"/>
    </row>
    <row r="674" spans="8:12" ht="15.75" customHeight="1" x14ac:dyDescent="0.25">
      <c r="H674" s="5"/>
      <c r="K674" s="5"/>
      <c r="L674" s="5"/>
    </row>
    <row r="675" spans="8:12" ht="15.75" customHeight="1" x14ac:dyDescent="0.25">
      <c r="H675" s="5"/>
      <c r="K675" s="5"/>
      <c r="L675" s="5"/>
    </row>
    <row r="676" spans="8:12" ht="15.75" customHeight="1" x14ac:dyDescent="0.25">
      <c r="H676" s="5"/>
      <c r="K676" s="5"/>
      <c r="L676" s="5"/>
    </row>
    <row r="677" spans="8:12" ht="15.75" customHeight="1" x14ac:dyDescent="0.25">
      <c r="H677" s="5"/>
      <c r="K677" s="5"/>
      <c r="L677" s="5"/>
    </row>
    <row r="678" spans="8:12" ht="15.75" customHeight="1" x14ac:dyDescent="0.25">
      <c r="H678" s="5"/>
      <c r="K678" s="5"/>
      <c r="L678" s="5"/>
    </row>
    <row r="679" spans="8:12" ht="15.75" customHeight="1" x14ac:dyDescent="0.25">
      <c r="H679" s="5"/>
      <c r="K679" s="5"/>
      <c r="L679" s="5"/>
    </row>
    <row r="680" spans="8:12" ht="15.75" customHeight="1" x14ac:dyDescent="0.25">
      <c r="H680" s="5"/>
      <c r="K680" s="5"/>
      <c r="L680" s="5"/>
    </row>
    <row r="681" spans="8:12" ht="15.75" customHeight="1" x14ac:dyDescent="0.25">
      <c r="H681" s="5"/>
      <c r="K681" s="5"/>
      <c r="L681" s="5"/>
    </row>
    <row r="682" spans="8:12" ht="15.75" customHeight="1" x14ac:dyDescent="0.25">
      <c r="H682" s="5"/>
      <c r="K682" s="5"/>
      <c r="L682" s="5"/>
    </row>
    <row r="683" spans="8:12" ht="15.75" customHeight="1" x14ac:dyDescent="0.25">
      <c r="H683" s="5"/>
      <c r="K683" s="5"/>
      <c r="L683" s="5"/>
    </row>
    <row r="684" spans="8:12" ht="15.75" customHeight="1" x14ac:dyDescent="0.25">
      <c r="H684" s="5"/>
      <c r="K684" s="5"/>
      <c r="L684" s="5"/>
    </row>
    <row r="685" spans="8:12" ht="15.75" customHeight="1" x14ac:dyDescent="0.25">
      <c r="H685" s="5"/>
      <c r="K685" s="5"/>
      <c r="L685" s="5"/>
    </row>
    <row r="686" spans="8:12" ht="15.75" customHeight="1" x14ac:dyDescent="0.25">
      <c r="H686" s="5"/>
      <c r="K686" s="5"/>
      <c r="L686" s="5"/>
    </row>
    <row r="687" spans="8:12" ht="15.75" customHeight="1" x14ac:dyDescent="0.25">
      <c r="H687" s="5"/>
      <c r="K687" s="5"/>
      <c r="L687" s="5"/>
    </row>
    <row r="688" spans="8:12" ht="15.75" customHeight="1" x14ac:dyDescent="0.25">
      <c r="H688" s="5"/>
      <c r="K688" s="5"/>
      <c r="L688" s="5"/>
    </row>
    <row r="689" spans="8:12" ht="15.75" customHeight="1" x14ac:dyDescent="0.25">
      <c r="H689" s="5"/>
      <c r="K689" s="5"/>
      <c r="L689" s="5"/>
    </row>
    <row r="690" spans="8:12" ht="15.75" customHeight="1" x14ac:dyDescent="0.25">
      <c r="H690" s="5"/>
      <c r="K690" s="5"/>
      <c r="L690" s="5"/>
    </row>
    <row r="691" spans="8:12" ht="15.75" customHeight="1" x14ac:dyDescent="0.25">
      <c r="H691" s="5"/>
      <c r="K691" s="5"/>
      <c r="L691" s="5"/>
    </row>
    <row r="692" spans="8:12" ht="15.75" customHeight="1" x14ac:dyDescent="0.25">
      <c r="H692" s="5"/>
      <c r="K692" s="5"/>
      <c r="L692" s="5"/>
    </row>
    <row r="693" spans="8:12" ht="15.75" customHeight="1" x14ac:dyDescent="0.25">
      <c r="H693" s="5"/>
      <c r="K693" s="5"/>
      <c r="L693" s="5"/>
    </row>
    <row r="694" spans="8:12" ht="15.75" customHeight="1" x14ac:dyDescent="0.25">
      <c r="H694" s="5"/>
      <c r="K694" s="5"/>
      <c r="L694" s="5"/>
    </row>
    <row r="695" spans="8:12" ht="15.75" customHeight="1" x14ac:dyDescent="0.25">
      <c r="H695" s="5"/>
      <c r="K695" s="5"/>
      <c r="L695" s="5"/>
    </row>
    <row r="696" spans="8:12" ht="15.75" customHeight="1" x14ac:dyDescent="0.25">
      <c r="H696" s="5"/>
      <c r="K696" s="5"/>
      <c r="L696" s="5"/>
    </row>
    <row r="697" spans="8:12" ht="15.75" customHeight="1" x14ac:dyDescent="0.25">
      <c r="H697" s="5"/>
      <c r="K697" s="5"/>
      <c r="L697" s="5"/>
    </row>
    <row r="698" spans="8:12" ht="15.75" customHeight="1" x14ac:dyDescent="0.25">
      <c r="H698" s="5"/>
      <c r="K698" s="5"/>
      <c r="L698" s="5"/>
    </row>
    <row r="699" spans="8:12" ht="15.75" customHeight="1" x14ac:dyDescent="0.25">
      <c r="H699" s="5"/>
      <c r="K699" s="5"/>
      <c r="L699" s="5"/>
    </row>
    <row r="700" spans="8:12" ht="15.75" customHeight="1" x14ac:dyDescent="0.25">
      <c r="H700" s="5"/>
      <c r="K700" s="5"/>
      <c r="L700" s="5"/>
    </row>
    <row r="701" spans="8:12" ht="15.75" customHeight="1" x14ac:dyDescent="0.25">
      <c r="H701" s="5"/>
      <c r="K701" s="5"/>
      <c r="L701" s="5"/>
    </row>
    <row r="702" spans="8:12" ht="15.75" customHeight="1" x14ac:dyDescent="0.25">
      <c r="H702" s="5"/>
      <c r="K702" s="5"/>
      <c r="L702" s="5"/>
    </row>
    <row r="703" spans="8:12" ht="15.75" customHeight="1" x14ac:dyDescent="0.25">
      <c r="H703" s="5"/>
      <c r="K703" s="5"/>
      <c r="L703" s="5"/>
    </row>
    <row r="704" spans="8:12" ht="15.75" customHeight="1" x14ac:dyDescent="0.25">
      <c r="H704" s="5"/>
      <c r="K704" s="5"/>
      <c r="L704" s="5"/>
    </row>
    <row r="705" spans="8:12" ht="15.75" customHeight="1" x14ac:dyDescent="0.25">
      <c r="H705" s="5"/>
      <c r="K705" s="5"/>
      <c r="L705" s="5"/>
    </row>
    <row r="706" spans="8:12" ht="15.75" customHeight="1" x14ac:dyDescent="0.25">
      <c r="H706" s="5"/>
      <c r="K706" s="5"/>
      <c r="L706" s="5"/>
    </row>
    <row r="707" spans="8:12" ht="15.75" customHeight="1" x14ac:dyDescent="0.25">
      <c r="H707" s="5"/>
      <c r="K707" s="5"/>
      <c r="L707" s="5"/>
    </row>
    <row r="708" spans="8:12" ht="15.75" customHeight="1" x14ac:dyDescent="0.25">
      <c r="H708" s="5"/>
      <c r="K708" s="5"/>
      <c r="L708" s="5"/>
    </row>
    <row r="709" spans="8:12" ht="15.75" customHeight="1" x14ac:dyDescent="0.25">
      <c r="H709" s="5"/>
      <c r="K709" s="5"/>
      <c r="L709" s="5"/>
    </row>
    <row r="710" spans="8:12" ht="15.75" customHeight="1" x14ac:dyDescent="0.25">
      <c r="H710" s="5"/>
      <c r="K710" s="5"/>
      <c r="L710" s="5"/>
    </row>
    <row r="711" spans="8:12" ht="15.75" customHeight="1" x14ac:dyDescent="0.25">
      <c r="H711" s="5"/>
      <c r="K711" s="5"/>
      <c r="L711" s="5"/>
    </row>
    <row r="712" spans="8:12" ht="15.75" customHeight="1" x14ac:dyDescent="0.25">
      <c r="H712" s="5"/>
      <c r="K712" s="5"/>
      <c r="L712" s="5"/>
    </row>
    <row r="713" spans="8:12" ht="15.75" customHeight="1" x14ac:dyDescent="0.25">
      <c r="H713" s="5"/>
      <c r="K713" s="5"/>
      <c r="L713" s="5"/>
    </row>
    <row r="714" spans="8:12" ht="15.75" customHeight="1" x14ac:dyDescent="0.25">
      <c r="H714" s="5"/>
      <c r="K714" s="5"/>
      <c r="L714" s="5"/>
    </row>
    <row r="715" spans="8:12" ht="15.75" customHeight="1" x14ac:dyDescent="0.25">
      <c r="H715" s="5"/>
      <c r="K715" s="5"/>
      <c r="L715" s="5"/>
    </row>
    <row r="716" spans="8:12" ht="15.75" customHeight="1" x14ac:dyDescent="0.25">
      <c r="H716" s="5"/>
      <c r="K716" s="5"/>
      <c r="L716" s="5"/>
    </row>
    <row r="717" spans="8:12" ht="15.75" customHeight="1" x14ac:dyDescent="0.25">
      <c r="H717" s="5"/>
      <c r="K717" s="5"/>
      <c r="L717" s="5"/>
    </row>
    <row r="718" spans="8:12" ht="15.75" customHeight="1" x14ac:dyDescent="0.25">
      <c r="H718" s="5"/>
      <c r="K718" s="5"/>
      <c r="L718" s="5"/>
    </row>
    <row r="719" spans="8:12" ht="15.75" customHeight="1" x14ac:dyDescent="0.25">
      <c r="H719" s="5"/>
      <c r="K719" s="5"/>
      <c r="L719" s="5"/>
    </row>
    <row r="720" spans="8:12" ht="15.75" customHeight="1" x14ac:dyDescent="0.25">
      <c r="H720" s="5"/>
      <c r="K720" s="5"/>
      <c r="L720" s="5"/>
    </row>
    <row r="721" spans="8:12" ht="15.75" customHeight="1" x14ac:dyDescent="0.25">
      <c r="H721" s="5"/>
      <c r="K721" s="5"/>
      <c r="L721" s="5"/>
    </row>
    <row r="722" spans="8:12" ht="15.75" customHeight="1" x14ac:dyDescent="0.25">
      <c r="H722" s="5"/>
      <c r="K722" s="5"/>
      <c r="L722" s="5"/>
    </row>
    <row r="723" spans="8:12" ht="15.75" customHeight="1" x14ac:dyDescent="0.25">
      <c r="H723" s="5"/>
      <c r="K723" s="5"/>
      <c r="L723" s="5"/>
    </row>
    <row r="724" spans="8:12" ht="15.75" customHeight="1" x14ac:dyDescent="0.25">
      <c r="H724" s="5"/>
      <c r="K724" s="5"/>
      <c r="L724" s="5"/>
    </row>
    <row r="725" spans="8:12" ht="15.75" customHeight="1" x14ac:dyDescent="0.25">
      <c r="H725" s="5"/>
      <c r="K725" s="5"/>
      <c r="L725" s="5"/>
    </row>
    <row r="726" spans="8:12" ht="15.75" customHeight="1" x14ac:dyDescent="0.25">
      <c r="H726" s="5"/>
      <c r="K726" s="5"/>
      <c r="L726" s="5"/>
    </row>
    <row r="727" spans="8:12" ht="15.75" customHeight="1" x14ac:dyDescent="0.25">
      <c r="H727" s="5"/>
      <c r="K727" s="5"/>
      <c r="L727" s="5"/>
    </row>
    <row r="728" spans="8:12" ht="15.75" customHeight="1" x14ac:dyDescent="0.25">
      <c r="H728" s="5"/>
      <c r="K728" s="5"/>
      <c r="L728" s="5"/>
    </row>
    <row r="729" spans="8:12" ht="15.75" customHeight="1" x14ac:dyDescent="0.25">
      <c r="H729" s="5"/>
      <c r="K729" s="5"/>
      <c r="L729" s="5"/>
    </row>
    <row r="730" spans="8:12" ht="15.75" customHeight="1" x14ac:dyDescent="0.25">
      <c r="H730" s="5"/>
      <c r="K730" s="5"/>
      <c r="L730" s="5"/>
    </row>
    <row r="731" spans="8:12" ht="15.75" customHeight="1" x14ac:dyDescent="0.25">
      <c r="H731" s="5"/>
      <c r="K731" s="5"/>
      <c r="L731" s="5"/>
    </row>
    <row r="732" spans="8:12" ht="15.75" customHeight="1" x14ac:dyDescent="0.25">
      <c r="H732" s="5"/>
      <c r="K732" s="5"/>
      <c r="L732" s="5"/>
    </row>
    <row r="733" spans="8:12" ht="15.75" customHeight="1" x14ac:dyDescent="0.25">
      <c r="H733" s="5"/>
      <c r="K733" s="5"/>
      <c r="L733" s="5"/>
    </row>
    <row r="734" spans="8:12" ht="15.75" customHeight="1" x14ac:dyDescent="0.25">
      <c r="H734" s="5"/>
      <c r="K734" s="5"/>
      <c r="L734" s="5"/>
    </row>
    <row r="735" spans="8:12" ht="15.75" customHeight="1" x14ac:dyDescent="0.25">
      <c r="H735" s="5"/>
      <c r="K735" s="5"/>
      <c r="L735" s="5"/>
    </row>
    <row r="736" spans="8:12" ht="15.75" customHeight="1" x14ac:dyDescent="0.25">
      <c r="H736" s="5"/>
      <c r="K736" s="5"/>
      <c r="L736" s="5"/>
    </row>
    <row r="737" spans="8:12" ht="15.75" customHeight="1" x14ac:dyDescent="0.25">
      <c r="H737" s="5"/>
      <c r="K737" s="5"/>
      <c r="L737" s="5"/>
    </row>
    <row r="738" spans="8:12" ht="15.75" customHeight="1" x14ac:dyDescent="0.25">
      <c r="H738" s="5"/>
      <c r="K738" s="5"/>
      <c r="L738" s="5"/>
    </row>
    <row r="739" spans="8:12" ht="15.75" customHeight="1" x14ac:dyDescent="0.25">
      <c r="H739" s="5"/>
      <c r="K739" s="5"/>
      <c r="L739" s="5"/>
    </row>
    <row r="740" spans="8:12" ht="15.75" customHeight="1" x14ac:dyDescent="0.25">
      <c r="H740" s="5"/>
      <c r="K740" s="5"/>
      <c r="L740" s="5"/>
    </row>
    <row r="741" spans="8:12" ht="15.75" customHeight="1" x14ac:dyDescent="0.25">
      <c r="H741" s="5"/>
      <c r="K741" s="5"/>
      <c r="L741" s="5"/>
    </row>
    <row r="742" spans="8:12" ht="15.75" customHeight="1" x14ac:dyDescent="0.25">
      <c r="H742" s="5"/>
      <c r="K742" s="5"/>
      <c r="L742" s="5"/>
    </row>
    <row r="743" spans="8:12" ht="15.75" customHeight="1" x14ac:dyDescent="0.25">
      <c r="H743" s="5"/>
      <c r="K743" s="5"/>
      <c r="L743" s="5"/>
    </row>
    <row r="744" spans="8:12" ht="15.75" customHeight="1" x14ac:dyDescent="0.25">
      <c r="H744" s="5"/>
      <c r="K744" s="5"/>
      <c r="L744" s="5"/>
    </row>
    <row r="745" spans="8:12" ht="15.75" customHeight="1" x14ac:dyDescent="0.25">
      <c r="H745" s="5"/>
      <c r="K745" s="5"/>
      <c r="L745" s="5"/>
    </row>
    <row r="746" spans="8:12" ht="15.75" customHeight="1" x14ac:dyDescent="0.25">
      <c r="H746" s="5"/>
      <c r="K746" s="5"/>
      <c r="L746" s="5"/>
    </row>
    <row r="747" spans="8:12" ht="15.75" customHeight="1" x14ac:dyDescent="0.25">
      <c r="H747" s="5"/>
      <c r="K747" s="5"/>
      <c r="L747" s="5"/>
    </row>
    <row r="748" spans="8:12" ht="15.75" customHeight="1" x14ac:dyDescent="0.25">
      <c r="H748" s="5"/>
      <c r="K748" s="5"/>
      <c r="L748" s="5"/>
    </row>
    <row r="749" spans="8:12" ht="15.75" customHeight="1" x14ac:dyDescent="0.25">
      <c r="H749" s="5"/>
      <c r="K749" s="5"/>
      <c r="L749" s="5"/>
    </row>
    <row r="750" spans="8:12" ht="15.75" customHeight="1" x14ac:dyDescent="0.25">
      <c r="H750" s="5"/>
      <c r="K750" s="5"/>
      <c r="L750" s="5"/>
    </row>
    <row r="751" spans="8:12" ht="15.75" customHeight="1" x14ac:dyDescent="0.25">
      <c r="H751" s="5"/>
      <c r="K751" s="5"/>
      <c r="L751" s="5"/>
    </row>
    <row r="752" spans="8:12" ht="15.75" customHeight="1" x14ac:dyDescent="0.25">
      <c r="H752" s="5"/>
      <c r="K752" s="5"/>
      <c r="L752" s="5"/>
    </row>
    <row r="753" spans="8:12" ht="15.75" customHeight="1" x14ac:dyDescent="0.25">
      <c r="H753" s="5"/>
      <c r="K753" s="5"/>
      <c r="L753" s="5"/>
    </row>
    <row r="754" spans="8:12" ht="15.75" customHeight="1" x14ac:dyDescent="0.25">
      <c r="H754" s="5"/>
      <c r="K754" s="5"/>
      <c r="L754" s="5"/>
    </row>
    <row r="755" spans="8:12" ht="15.75" customHeight="1" x14ac:dyDescent="0.25">
      <c r="H755" s="5"/>
      <c r="K755" s="5"/>
      <c r="L755" s="5"/>
    </row>
    <row r="756" spans="8:12" ht="15.75" customHeight="1" x14ac:dyDescent="0.25">
      <c r="H756" s="5"/>
      <c r="K756" s="5"/>
      <c r="L756" s="5"/>
    </row>
    <row r="757" spans="8:12" ht="15.75" customHeight="1" x14ac:dyDescent="0.25">
      <c r="H757" s="5"/>
      <c r="K757" s="5"/>
      <c r="L757" s="5"/>
    </row>
    <row r="758" spans="8:12" ht="15.75" customHeight="1" x14ac:dyDescent="0.25">
      <c r="H758" s="5"/>
      <c r="K758" s="5"/>
      <c r="L758" s="5"/>
    </row>
    <row r="759" spans="8:12" ht="15.75" customHeight="1" x14ac:dyDescent="0.25">
      <c r="H759" s="5"/>
      <c r="K759" s="5"/>
      <c r="L759" s="5"/>
    </row>
    <row r="760" spans="8:12" ht="15.75" customHeight="1" x14ac:dyDescent="0.25">
      <c r="H760" s="5"/>
      <c r="K760" s="5"/>
      <c r="L760" s="5"/>
    </row>
    <row r="761" spans="8:12" ht="15.75" customHeight="1" x14ac:dyDescent="0.25">
      <c r="H761" s="5"/>
      <c r="K761" s="5"/>
      <c r="L761" s="5"/>
    </row>
    <row r="762" spans="8:12" ht="15.75" customHeight="1" x14ac:dyDescent="0.25">
      <c r="H762" s="5"/>
      <c r="K762" s="5"/>
      <c r="L762" s="5"/>
    </row>
    <row r="763" spans="8:12" ht="15.75" customHeight="1" x14ac:dyDescent="0.25">
      <c r="H763" s="5"/>
      <c r="K763" s="5"/>
      <c r="L763" s="5"/>
    </row>
    <row r="764" spans="8:12" ht="15.75" customHeight="1" x14ac:dyDescent="0.25">
      <c r="H764" s="5"/>
      <c r="K764" s="5"/>
      <c r="L764" s="5"/>
    </row>
    <row r="765" spans="8:12" ht="15.75" customHeight="1" x14ac:dyDescent="0.25">
      <c r="H765" s="5"/>
      <c r="K765" s="5"/>
      <c r="L765" s="5"/>
    </row>
    <row r="766" spans="8:12" ht="15.75" customHeight="1" x14ac:dyDescent="0.25">
      <c r="H766" s="5"/>
      <c r="K766" s="5"/>
      <c r="L766" s="5"/>
    </row>
    <row r="767" spans="8:12" ht="15.75" customHeight="1" x14ac:dyDescent="0.25">
      <c r="H767" s="5"/>
      <c r="K767" s="5"/>
      <c r="L767" s="5"/>
    </row>
    <row r="768" spans="8:12" ht="15.75" customHeight="1" x14ac:dyDescent="0.25">
      <c r="H768" s="5"/>
      <c r="K768" s="5"/>
      <c r="L768" s="5"/>
    </row>
    <row r="769" spans="8:12" ht="15.75" customHeight="1" x14ac:dyDescent="0.25">
      <c r="H769" s="5"/>
      <c r="K769" s="5"/>
      <c r="L769" s="5"/>
    </row>
    <row r="770" spans="8:12" ht="15.75" customHeight="1" x14ac:dyDescent="0.25">
      <c r="H770" s="5"/>
      <c r="K770" s="5"/>
      <c r="L770" s="5"/>
    </row>
    <row r="771" spans="8:12" ht="15.75" customHeight="1" x14ac:dyDescent="0.25">
      <c r="H771" s="5"/>
      <c r="K771" s="5"/>
      <c r="L771" s="5"/>
    </row>
    <row r="772" spans="8:12" ht="15.75" customHeight="1" x14ac:dyDescent="0.25">
      <c r="H772" s="5"/>
      <c r="K772" s="5"/>
      <c r="L772" s="5"/>
    </row>
    <row r="773" spans="8:12" ht="15.75" customHeight="1" x14ac:dyDescent="0.25">
      <c r="H773" s="5"/>
      <c r="K773" s="5"/>
      <c r="L773" s="5"/>
    </row>
    <row r="774" spans="8:12" ht="15.75" customHeight="1" x14ac:dyDescent="0.25">
      <c r="H774" s="5"/>
      <c r="K774" s="5"/>
      <c r="L774" s="5"/>
    </row>
    <row r="775" spans="8:12" ht="15.75" customHeight="1" x14ac:dyDescent="0.25">
      <c r="H775" s="5"/>
      <c r="K775" s="5"/>
      <c r="L775" s="5"/>
    </row>
    <row r="776" spans="8:12" ht="15.75" customHeight="1" x14ac:dyDescent="0.25">
      <c r="H776" s="5"/>
      <c r="K776" s="5"/>
      <c r="L776" s="5"/>
    </row>
    <row r="777" spans="8:12" ht="15.75" customHeight="1" x14ac:dyDescent="0.25">
      <c r="H777" s="5"/>
      <c r="K777" s="5"/>
      <c r="L777" s="5"/>
    </row>
    <row r="778" spans="8:12" ht="15.75" customHeight="1" x14ac:dyDescent="0.25">
      <c r="H778" s="5"/>
      <c r="K778" s="5"/>
      <c r="L778" s="5"/>
    </row>
    <row r="779" spans="8:12" ht="15.75" customHeight="1" x14ac:dyDescent="0.25">
      <c r="H779" s="5"/>
      <c r="K779" s="5"/>
      <c r="L779" s="5"/>
    </row>
    <row r="780" spans="8:12" ht="15.75" customHeight="1" x14ac:dyDescent="0.25">
      <c r="H780" s="5"/>
      <c r="K780" s="5"/>
      <c r="L780" s="5"/>
    </row>
    <row r="781" spans="8:12" ht="15.75" customHeight="1" x14ac:dyDescent="0.25">
      <c r="H781" s="5"/>
      <c r="K781" s="5"/>
      <c r="L781" s="5"/>
    </row>
    <row r="782" spans="8:12" ht="15.75" customHeight="1" x14ac:dyDescent="0.25">
      <c r="H782" s="5"/>
      <c r="K782" s="5"/>
      <c r="L782" s="5"/>
    </row>
    <row r="783" spans="8:12" ht="15.75" customHeight="1" x14ac:dyDescent="0.25">
      <c r="H783" s="5"/>
      <c r="K783" s="5"/>
      <c r="L783" s="5"/>
    </row>
    <row r="784" spans="8:12" ht="15.75" customHeight="1" x14ac:dyDescent="0.25">
      <c r="H784" s="5"/>
      <c r="K784" s="5"/>
      <c r="L784" s="5"/>
    </row>
    <row r="785" spans="8:12" ht="15.75" customHeight="1" x14ac:dyDescent="0.25">
      <c r="H785" s="5"/>
      <c r="K785" s="5"/>
      <c r="L785" s="5"/>
    </row>
    <row r="786" spans="8:12" ht="15.75" customHeight="1" x14ac:dyDescent="0.25">
      <c r="H786" s="5"/>
      <c r="K786" s="5"/>
      <c r="L786" s="5"/>
    </row>
    <row r="787" spans="8:12" ht="15.75" customHeight="1" x14ac:dyDescent="0.25">
      <c r="H787" s="5"/>
      <c r="K787" s="5"/>
      <c r="L787" s="5"/>
    </row>
    <row r="788" spans="8:12" ht="15.75" customHeight="1" x14ac:dyDescent="0.25">
      <c r="H788" s="5"/>
      <c r="K788" s="5"/>
      <c r="L788" s="5"/>
    </row>
    <row r="789" spans="8:12" ht="15.75" customHeight="1" x14ac:dyDescent="0.25">
      <c r="H789" s="5"/>
      <c r="K789" s="5"/>
      <c r="L789" s="5"/>
    </row>
    <row r="790" spans="8:12" ht="15.75" customHeight="1" x14ac:dyDescent="0.25">
      <c r="H790" s="5"/>
      <c r="K790" s="5"/>
      <c r="L790" s="5"/>
    </row>
    <row r="791" spans="8:12" ht="15.75" customHeight="1" x14ac:dyDescent="0.25">
      <c r="H791" s="5"/>
      <c r="K791" s="5"/>
      <c r="L791" s="5"/>
    </row>
    <row r="792" spans="8:12" ht="15.75" customHeight="1" x14ac:dyDescent="0.25">
      <c r="H792" s="5"/>
      <c r="K792" s="5"/>
      <c r="L792" s="5"/>
    </row>
    <row r="793" spans="8:12" ht="15.75" customHeight="1" x14ac:dyDescent="0.25">
      <c r="H793" s="5"/>
      <c r="K793" s="5"/>
      <c r="L793" s="5"/>
    </row>
    <row r="794" spans="8:12" ht="15.75" customHeight="1" x14ac:dyDescent="0.25">
      <c r="H794" s="5"/>
      <c r="K794" s="5"/>
      <c r="L794" s="5"/>
    </row>
    <row r="795" spans="8:12" ht="15.75" customHeight="1" x14ac:dyDescent="0.25">
      <c r="H795" s="5"/>
      <c r="K795" s="5"/>
      <c r="L795" s="5"/>
    </row>
    <row r="796" spans="8:12" ht="15.75" customHeight="1" x14ac:dyDescent="0.25">
      <c r="H796" s="5"/>
      <c r="K796" s="5"/>
      <c r="L796" s="5"/>
    </row>
    <row r="797" spans="8:12" ht="15.75" customHeight="1" x14ac:dyDescent="0.25">
      <c r="H797" s="5"/>
      <c r="K797" s="5"/>
      <c r="L797" s="5"/>
    </row>
    <row r="798" spans="8:12" ht="15.75" customHeight="1" x14ac:dyDescent="0.25">
      <c r="H798" s="5"/>
      <c r="K798" s="5"/>
      <c r="L798" s="5"/>
    </row>
    <row r="799" spans="8:12" ht="15.75" customHeight="1" x14ac:dyDescent="0.25">
      <c r="H799" s="5"/>
      <c r="K799" s="5"/>
      <c r="L799" s="5"/>
    </row>
    <row r="800" spans="8:12" ht="15.75" customHeight="1" x14ac:dyDescent="0.25">
      <c r="H800" s="5"/>
      <c r="K800" s="5"/>
      <c r="L800" s="5"/>
    </row>
    <row r="801" spans="8:12" ht="15.75" customHeight="1" x14ac:dyDescent="0.25">
      <c r="H801" s="5"/>
      <c r="K801" s="5"/>
      <c r="L801" s="5"/>
    </row>
    <row r="802" spans="8:12" ht="15.75" customHeight="1" x14ac:dyDescent="0.25">
      <c r="H802" s="5"/>
      <c r="K802" s="5"/>
      <c r="L802" s="5"/>
    </row>
    <row r="803" spans="8:12" ht="15.75" customHeight="1" x14ac:dyDescent="0.25">
      <c r="H803" s="5"/>
      <c r="K803" s="5"/>
      <c r="L803" s="5"/>
    </row>
    <row r="804" spans="8:12" ht="15.75" customHeight="1" x14ac:dyDescent="0.25">
      <c r="H804" s="5"/>
      <c r="K804" s="5"/>
      <c r="L804" s="5"/>
    </row>
    <row r="805" spans="8:12" ht="15.75" customHeight="1" x14ac:dyDescent="0.25">
      <c r="H805" s="5"/>
      <c r="K805" s="5"/>
      <c r="L805" s="5"/>
    </row>
    <row r="806" spans="8:12" ht="15.75" customHeight="1" x14ac:dyDescent="0.25">
      <c r="H806" s="5"/>
      <c r="K806" s="5"/>
      <c r="L806" s="5"/>
    </row>
    <row r="807" spans="8:12" ht="15.75" customHeight="1" x14ac:dyDescent="0.25">
      <c r="H807" s="5"/>
      <c r="K807" s="5"/>
      <c r="L807" s="5"/>
    </row>
    <row r="808" spans="8:12" ht="15.75" customHeight="1" x14ac:dyDescent="0.25">
      <c r="H808" s="5"/>
      <c r="K808" s="5"/>
      <c r="L808" s="5"/>
    </row>
    <row r="809" spans="8:12" ht="15.75" customHeight="1" x14ac:dyDescent="0.25">
      <c r="H809" s="5"/>
      <c r="K809" s="5"/>
      <c r="L809" s="5"/>
    </row>
    <row r="810" spans="8:12" ht="15.75" customHeight="1" x14ac:dyDescent="0.25">
      <c r="H810" s="5"/>
      <c r="K810" s="5"/>
      <c r="L810" s="5"/>
    </row>
    <row r="811" spans="8:12" ht="15.75" customHeight="1" x14ac:dyDescent="0.25">
      <c r="H811" s="5"/>
      <c r="K811" s="5"/>
      <c r="L811" s="5"/>
    </row>
    <row r="812" spans="8:12" ht="15.75" customHeight="1" x14ac:dyDescent="0.25">
      <c r="H812" s="5"/>
      <c r="K812" s="5"/>
      <c r="L812" s="5"/>
    </row>
    <row r="813" spans="8:12" ht="15.75" customHeight="1" x14ac:dyDescent="0.25">
      <c r="H813" s="5"/>
      <c r="K813" s="5"/>
      <c r="L813" s="5"/>
    </row>
    <row r="814" spans="8:12" ht="15.75" customHeight="1" x14ac:dyDescent="0.25">
      <c r="H814" s="5"/>
      <c r="K814" s="5"/>
      <c r="L814" s="5"/>
    </row>
    <row r="815" spans="8:12" ht="15.75" customHeight="1" x14ac:dyDescent="0.25">
      <c r="H815" s="5"/>
      <c r="K815" s="5"/>
      <c r="L815" s="5"/>
    </row>
    <row r="816" spans="8:12" ht="15.75" customHeight="1" x14ac:dyDescent="0.25">
      <c r="H816" s="5"/>
      <c r="K816" s="5"/>
      <c r="L816" s="5"/>
    </row>
    <row r="817" spans="8:12" ht="15.75" customHeight="1" x14ac:dyDescent="0.25">
      <c r="H817" s="5"/>
      <c r="K817" s="5"/>
      <c r="L817" s="5"/>
    </row>
    <row r="818" spans="8:12" ht="15.75" customHeight="1" x14ac:dyDescent="0.25">
      <c r="H818" s="5"/>
      <c r="K818" s="5"/>
      <c r="L818" s="5"/>
    </row>
    <row r="819" spans="8:12" ht="15.75" customHeight="1" x14ac:dyDescent="0.25">
      <c r="H819" s="5"/>
      <c r="K819" s="5"/>
      <c r="L819" s="5"/>
    </row>
    <row r="820" spans="8:12" ht="15.75" customHeight="1" x14ac:dyDescent="0.25">
      <c r="H820" s="5"/>
      <c r="K820" s="5"/>
      <c r="L820" s="5"/>
    </row>
    <row r="821" spans="8:12" ht="15.75" customHeight="1" x14ac:dyDescent="0.25">
      <c r="H821" s="5"/>
      <c r="K821" s="5"/>
      <c r="L821" s="5"/>
    </row>
    <row r="822" spans="8:12" ht="15.75" customHeight="1" x14ac:dyDescent="0.25">
      <c r="H822" s="5"/>
      <c r="K822" s="5"/>
      <c r="L822" s="5"/>
    </row>
    <row r="823" spans="8:12" ht="15.75" customHeight="1" x14ac:dyDescent="0.25">
      <c r="H823" s="5"/>
      <c r="K823" s="5"/>
      <c r="L823" s="5"/>
    </row>
    <row r="824" spans="8:12" ht="15.75" customHeight="1" x14ac:dyDescent="0.25">
      <c r="H824" s="5"/>
      <c r="K824" s="5"/>
      <c r="L824" s="5"/>
    </row>
    <row r="825" spans="8:12" ht="15.75" customHeight="1" x14ac:dyDescent="0.25">
      <c r="H825" s="5"/>
      <c r="K825" s="5"/>
      <c r="L825" s="5"/>
    </row>
    <row r="826" spans="8:12" ht="15.75" customHeight="1" x14ac:dyDescent="0.25">
      <c r="H826" s="5"/>
      <c r="K826" s="5"/>
      <c r="L826" s="5"/>
    </row>
    <row r="827" spans="8:12" ht="15.75" customHeight="1" x14ac:dyDescent="0.25">
      <c r="H827" s="5"/>
      <c r="K827" s="5"/>
      <c r="L827" s="5"/>
    </row>
    <row r="828" spans="8:12" ht="15.75" customHeight="1" x14ac:dyDescent="0.25">
      <c r="H828" s="5"/>
      <c r="K828" s="5"/>
      <c r="L828" s="5"/>
    </row>
    <row r="829" spans="8:12" ht="15.75" customHeight="1" x14ac:dyDescent="0.25">
      <c r="H829" s="5"/>
      <c r="K829" s="5"/>
      <c r="L829" s="5"/>
    </row>
    <row r="830" spans="8:12" ht="15.75" customHeight="1" x14ac:dyDescent="0.25">
      <c r="H830" s="5"/>
      <c r="K830" s="5"/>
      <c r="L830" s="5"/>
    </row>
    <row r="831" spans="8:12" ht="15.75" customHeight="1" x14ac:dyDescent="0.25">
      <c r="H831" s="5"/>
      <c r="K831" s="5"/>
      <c r="L831" s="5"/>
    </row>
    <row r="832" spans="8:12" ht="15.75" customHeight="1" x14ac:dyDescent="0.25">
      <c r="H832" s="5"/>
      <c r="K832" s="5"/>
      <c r="L832" s="5"/>
    </row>
    <row r="833" spans="8:12" ht="15.75" customHeight="1" x14ac:dyDescent="0.25">
      <c r="H833" s="5"/>
      <c r="K833" s="5"/>
      <c r="L833" s="5"/>
    </row>
    <row r="834" spans="8:12" ht="15.75" customHeight="1" x14ac:dyDescent="0.25">
      <c r="H834" s="5"/>
      <c r="K834" s="5"/>
      <c r="L834" s="5"/>
    </row>
    <row r="835" spans="8:12" ht="15.75" customHeight="1" x14ac:dyDescent="0.25">
      <c r="H835" s="5"/>
      <c r="K835" s="5"/>
      <c r="L835" s="5"/>
    </row>
    <row r="836" spans="8:12" ht="15.75" customHeight="1" x14ac:dyDescent="0.25">
      <c r="H836" s="5"/>
      <c r="K836" s="5"/>
      <c r="L836" s="5"/>
    </row>
    <row r="837" spans="8:12" ht="15.75" customHeight="1" x14ac:dyDescent="0.25">
      <c r="H837" s="5"/>
      <c r="K837" s="5"/>
      <c r="L837" s="5"/>
    </row>
    <row r="838" spans="8:12" ht="15.75" customHeight="1" x14ac:dyDescent="0.25">
      <c r="H838" s="5"/>
      <c r="K838" s="5"/>
      <c r="L838" s="5"/>
    </row>
    <row r="839" spans="8:12" ht="15.75" customHeight="1" x14ac:dyDescent="0.25">
      <c r="H839" s="5"/>
      <c r="K839" s="5"/>
      <c r="L839" s="5"/>
    </row>
    <row r="840" spans="8:12" ht="15.75" customHeight="1" x14ac:dyDescent="0.25">
      <c r="H840" s="5"/>
      <c r="K840" s="5"/>
      <c r="L840" s="5"/>
    </row>
    <row r="841" spans="8:12" ht="15.75" customHeight="1" x14ac:dyDescent="0.25">
      <c r="H841" s="5"/>
      <c r="K841" s="5"/>
      <c r="L841" s="5"/>
    </row>
    <row r="842" spans="8:12" ht="15.75" customHeight="1" x14ac:dyDescent="0.25">
      <c r="H842" s="5"/>
      <c r="K842" s="5"/>
      <c r="L842" s="5"/>
    </row>
    <row r="843" spans="8:12" ht="15.75" customHeight="1" x14ac:dyDescent="0.25">
      <c r="H843" s="5"/>
      <c r="K843" s="5"/>
      <c r="L843" s="5"/>
    </row>
    <row r="844" spans="8:12" ht="15.75" customHeight="1" x14ac:dyDescent="0.25">
      <c r="H844" s="5"/>
      <c r="K844" s="5"/>
      <c r="L844" s="5"/>
    </row>
    <row r="845" spans="8:12" ht="15.75" customHeight="1" x14ac:dyDescent="0.25">
      <c r="H845" s="5"/>
      <c r="K845" s="5"/>
      <c r="L845" s="5"/>
    </row>
    <row r="846" spans="8:12" ht="15.75" customHeight="1" x14ac:dyDescent="0.25">
      <c r="H846" s="5"/>
      <c r="K846" s="5"/>
      <c r="L846" s="5"/>
    </row>
    <row r="847" spans="8:12" ht="15.75" customHeight="1" x14ac:dyDescent="0.25">
      <c r="H847" s="5"/>
      <c r="K847" s="5"/>
      <c r="L847" s="5"/>
    </row>
    <row r="848" spans="8:12" ht="15.75" customHeight="1" x14ac:dyDescent="0.25">
      <c r="H848" s="5"/>
      <c r="K848" s="5"/>
      <c r="L848" s="5"/>
    </row>
    <row r="849" spans="8:12" ht="15.75" customHeight="1" x14ac:dyDescent="0.25">
      <c r="H849" s="5"/>
      <c r="K849" s="5"/>
      <c r="L849" s="5"/>
    </row>
    <row r="850" spans="8:12" ht="15.75" customHeight="1" x14ac:dyDescent="0.25">
      <c r="H850" s="5"/>
      <c r="K850" s="5"/>
      <c r="L850" s="5"/>
    </row>
    <row r="851" spans="8:12" ht="15.75" customHeight="1" x14ac:dyDescent="0.25">
      <c r="H851" s="5"/>
      <c r="K851" s="5"/>
      <c r="L851" s="5"/>
    </row>
    <row r="852" spans="8:12" ht="15.75" customHeight="1" x14ac:dyDescent="0.25">
      <c r="H852" s="5"/>
      <c r="K852" s="5"/>
      <c r="L852" s="5"/>
    </row>
    <row r="853" spans="8:12" ht="15.75" customHeight="1" x14ac:dyDescent="0.25">
      <c r="H853" s="5"/>
      <c r="K853" s="5"/>
      <c r="L853" s="5"/>
    </row>
    <row r="854" spans="8:12" ht="15.75" customHeight="1" x14ac:dyDescent="0.25">
      <c r="H854" s="5"/>
      <c r="K854" s="5"/>
      <c r="L854" s="5"/>
    </row>
    <row r="855" spans="8:12" ht="15.75" customHeight="1" x14ac:dyDescent="0.25">
      <c r="H855" s="5"/>
      <c r="K855" s="5"/>
      <c r="L855" s="5"/>
    </row>
    <row r="856" spans="8:12" ht="15.75" customHeight="1" x14ac:dyDescent="0.25">
      <c r="H856" s="5"/>
      <c r="K856" s="5"/>
      <c r="L856" s="5"/>
    </row>
    <row r="857" spans="8:12" ht="15.75" customHeight="1" x14ac:dyDescent="0.25">
      <c r="H857" s="5"/>
      <c r="K857" s="5"/>
      <c r="L857" s="5"/>
    </row>
    <row r="858" spans="8:12" ht="15.75" customHeight="1" x14ac:dyDescent="0.25">
      <c r="H858" s="5"/>
      <c r="K858" s="5"/>
      <c r="L858" s="5"/>
    </row>
    <row r="859" spans="8:12" ht="15.75" customHeight="1" x14ac:dyDescent="0.25">
      <c r="H859" s="5"/>
      <c r="K859" s="5"/>
      <c r="L859" s="5"/>
    </row>
    <row r="860" spans="8:12" ht="15.75" customHeight="1" x14ac:dyDescent="0.25">
      <c r="H860" s="5"/>
      <c r="K860" s="5"/>
      <c r="L860" s="5"/>
    </row>
    <row r="861" spans="8:12" ht="15.75" customHeight="1" x14ac:dyDescent="0.25">
      <c r="H861" s="5"/>
      <c r="K861" s="5"/>
      <c r="L861" s="5"/>
    </row>
    <row r="862" spans="8:12" ht="15.75" customHeight="1" x14ac:dyDescent="0.25">
      <c r="H862" s="5"/>
      <c r="K862" s="5"/>
      <c r="L862" s="5"/>
    </row>
    <row r="863" spans="8:12" ht="15.75" customHeight="1" x14ac:dyDescent="0.25">
      <c r="H863" s="5"/>
      <c r="K863" s="5"/>
      <c r="L863" s="5"/>
    </row>
    <row r="864" spans="8:12" ht="15.75" customHeight="1" x14ac:dyDescent="0.25">
      <c r="H864" s="5"/>
      <c r="K864" s="5"/>
      <c r="L864" s="5"/>
    </row>
    <row r="865" spans="8:12" ht="15.75" customHeight="1" x14ac:dyDescent="0.25">
      <c r="H865" s="5"/>
      <c r="K865" s="5"/>
      <c r="L865" s="5"/>
    </row>
    <row r="866" spans="8:12" ht="15.75" customHeight="1" x14ac:dyDescent="0.25">
      <c r="H866" s="5"/>
      <c r="K866" s="5"/>
      <c r="L866" s="5"/>
    </row>
    <row r="867" spans="8:12" ht="15.75" customHeight="1" x14ac:dyDescent="0.25">
      <c r="H867" s="5"/>
      <c r="K867" s="5"/>
      <c r="L867" s="5"/>
    </row>
    <row r="868" spans="8:12" ht="15.75" customHeight="1" x14ac:dyDescent="0.25">
      <c r="H868" s="5"/>
      <c r="K868" s="5"/>
      <c r="L868" s="5"/>
    </row>
    <row r="869" spans="8:12" ht="15.75" customHeight="1" x14ac:dyDescent="0.25">
      <c r="H869" s="5"/>
      <c r="K869" s="5"/>
      <c r="L869" s="5"/>
    </row>
    <row r="870" spans="8:12" ht="15.75" customHeight="1" x14ac:dyDescent="0.25">
      <c r="H870" s="5"/>
      <c r="K870" s="5"/>
      <c r="L870" s="5"/>
    </row>
    <row r="871" spans="8:12" ht="15.75" customHeight="1" x14ac:dyDescent="0.25">
      <c r="H871" s="5"/>
      <c r="K871" s="5"/>
      <c r="L871" s="5"/>
    </row>
    <row r="872" spans="8:12" ht="15.75" customHeight="1" x14ac:dyDescent="0.25">
      <c r="H872" s="5"/>
      <c r="K872" s="5"/>
      <c r="L872" s="5"/>
    </row>
    <row r="873" spans="8:12" ht="15.75" customHeight="1" x14ac:dyDescent="0.25">
      <c r="H873" s="5"/>
      <c r="K873" s="5"/>
      <c r="L873" s="5"/>
    </row>
    <row r="874" spans="8:12" ht="15.75" customHeight="1" x14ac:dyDescent="0.25">
      <c r="H874" s="5"/>
      <c r="K874" s="5"/>
      <c r="L874" s="5"/>
    </row>
    <row r="875" spans="8:12" ht="15.75" customHeight="1" x14ac:dyDescent="0.25">
      <c r="H875" s="5"/>
      <c r="K875" s="5"/>
      <c r="L875" s="5"/>
    </row>
    <row r="876" spans="8:12" ht="15.75" customHeight="1" x14ac:dyDescent="0.25">
      <c r="H876" s="5"/>
      <c r="K876" s="5"/>
      <c r="L876" s="5"/>
    </row>
    <row r="877" spans="8:12" ht="15.75" customHeight="1" x14ac:dyDescent="0.25">
      <c r="H877" s="5"/>
      <c r="K877" s="5"/>
      <c r="L877" s="5"/>
    </row>
    <row r="878" spans="8:12" ht="15.75" customHeight="1" x14ac:dyDescent="0.25">
      <c r="H878" s="5"/>
      <c r="K878" s="5"/>
      <c r="L878" s="5"/>
    </row>
    <row r="879" spans="8:12" ht="15.75" customHeight="1" x14ac:dyDescent="0.25">
      <c r="H879" s="5"/>
      <c r="K879" s="5"/>
      <c r="L879" s="5"/>
    </row>
    <row r="880" spans="8:12" ht="15.75" customHeight="1" x14ac:dyDescent="0.25">
      <c r="H880" s="5"/>
      <c r="K880" s="5"/>
      <c r="L880" s="5"/>
    </row>
    <row r="881" spans="8:12" ht="15.75" customHeight="1" x14ac:dyDescent="0.25">
      <c r="H881" s="5"/>
      <c r="K881" s="5"/>
      <c r="L881" s="5"/>
    </row>
    <row r="882" spans="8:12" ht="15.75" customHeight="1" x14ac:dyDescent="0.25">
      <c r="H882" s="5"/>
      <c r="K882" s="5"/>
      <c r="L882" s="5"/>
    </row>
    <row r="883" spans="8:12" ht="15.75" customHeight="1" x14ac:dyDescent="0.25">
      <c r="H883" s="5"/>
      <c r="K883" s="5"/>
      <c r="L883" s="5"/>
    </row>
    <row r="884" spans="8:12" ht="15.75" customHeight="1" x14ac:dyDescent="0.25">
      <c r="H884" s="5"/>
      <c r="K884" s="5"/>
      <c r="L884" s="5"/>
    </row>
    <row r="885" spans="8:12" ht="15.75" customHeight="1" x14ac:dyDescent="0.25">
      <c r="H885" s="5"/>
      <c r="K885" s="5"/>
      <c r="L885" s="5"/>
    </row>
    <row r="886" spans="8:12" ht="15.75" customHeight="1" x14ac:dyDescent="0.25">
      <c r="H886" s="5"/>
      <c r="K886" s="5"/>
      <c r="L886" s="5"/>
    </row>
    <row r="887" spans="8:12" ht="15.75" customHeight="1" x14ac:dyDescent="0.25">
      <c r="H887" s="5"/>
      <c r="K887" s="5"/>
      <c r="L887" s="5"/>
    </row>
    <row r="888" spans="8:12" ht="15.75" customHeight="1" x14ac:dyDescent="0.25">
      <c r="H888" s="5"/>
      <c r="K888" s="5"/>
      <c r="L888" s="5"/>
    </row>
    <row r="889" spans="8:12" ht="15.75" customHeight="1" x14ac:dyDescent="0.25">
      <c r="H889" s="5"/>
      <c r="K889" s="5"/>
      <c r="L889" s="5"/>
    </row>
    <row r="890" spans="8:12" ht="15.75" customHeight="1" x14ac:dyDescent="0.25">
      <c r="H890" s="5"/>
      <c r="K890" s="5"/>
      <c r="L890" s="5"/>
    </row>
    <row r="891" spans="8:12" ht="15.75" customHeight="1" x14ac:dyDescent="0.25">
      <c r="H891" s="5"/>
      <c r="K891" s="5"/>
      <c r="L891" s="5"/>
    </row>
    <row r="892" spans="8:12" ht="15.75" customHeight="1" x14ac:dyDescent="0.25">
      <c r="H892" s="5"/>
      <c r="K892" s="5"/>
      <c r="L892" s="5"/>
    </row>
    <row r="893" spans="8:12" ht="15.75" customHeight="1" x14ac:dyDescent="0.25">
      <c r="H893" s="5"/>
      <c r="K893" s="5"/>
      <c r="L893" s="5"/>
    </row>
    <row r="894" spans="8:12" ht="15.75" customHeight="1" x14ac:dyDescent="0.25">
      <c r="H894" s="5"/>
      <c r="K894" s="5"/>
      <c r="L894" s="5"/>
    </row>
    <row r="895" spans="8:12" ht="15.75" customHeight="1" x14ac:dyDescent="0.25">
      <c r="H895" s="5"/>
      <c r="K895" s="5"/>
      <c r="L895" s="5"/>
    </row>
    <row r="896" spans="8:12" ht="15.75" customHeight="1" x14ac:dyDescent="0.25">
      <c r="H896" s="5"/>
      <c r="K896" s="5"/>
      <c r="L896" s="5"/>
    </row>
    <row r="897" spans="8:12" ht="15.75" customHeight="1" x14ac:dyDescent="0.25">
      <c r="H897" s="5"/>
      <c r="K897" s="5"/>
      <c r="L897" s="5"/>
    </row>
    <row r="898" spans="8:12" ht="15.75" customHeight="1" x14ac:dyDescent="0.25">
      <c r="H898" s="5"/>
      <c r="K898" s="5"/>
      <c r="L898" s="5"/>
    </row>
    <row r="899" spans="8:12" ht="15.75" customHeight="1" x14ac:dyDescent="0.25">
      <c r="H899" s="5"/>
      <c r="K899" s="5"/>
      <c r="L899" s="5"/>
    </row>
    <row r="900" spans="8:12" ht="15.75" customHeight="1" x14ac:dyDescent="0.25">
      <c r="H900" s="5"/>
      <c r="K900" s="5"/>
      <c r="L900" s="5"/>
    </row>
    <row r="901" spans="8:12" ht="15.75" customHeight="1" x14ac:dyDescent="0.25">
      <c r="H901" s="5"/>
      <c r="K901" s="5"/>
      <c r="L901" s="5"/>
    </row>
    <row r="902" spans="8:12" ht="15.75" customHeight="1" x14ac:dyDescent="0.25">
      <c r="H902" s="5"/>
      <c r="K902" s="5"/>
      <c r="L902" s="5"/>
    </row>
    <row r="903" spans="8:12" ht="15.75" customHeight="1" x14ac:dyDescent="0.25">
      <c r="H903" s="5"/>
      <c r="K903" s="5"/>
      <c r="L903" s="5"/>
    </row>
    <row r="904" spans="8:12" ht="15.75" customHeight="1" x14ac:dyDescent="0.25">
      <c r="H904" s="5"/>
      <c r="K904" s="5"/>
      <c r="L904" s="5"/>
    </row>
    <row r="905" spans="8:12" ht="15.75" customHeight="1" x14ac:dyDescent="0.25">
      <c r="H905" s="5"/>
      <c r="K905" s="5"/>
      <c r="L905" s="5"/>
    </row>
    <row r="906" spans="8:12" ht="15.75" customHeight="1" x14ac:dyDescent="0.25">
      <c r="H906" s="5"/>
      <c r="K906" s="5"/>
      <c r="L906" s="5"/>
    </row>
    <row r="907" spans="8:12" ht="15.75" customHeight="1" x14ac:dyDescent="0.25">
      <c r="H907" s="5"/>
      <c r="K907" s="5"/>
      <c r="L907" s="5"/>
    </row>
    <row r="908" spans="8:12" ht="15.75" customHeight="1" x14ac:dyDescent="0.25">
      <c r="H908" s="5"/>
      <c r="K908" s="5"/>
      <c r="L908" s="5"/>
    </row>
    <row r="909" spans="8:12" ht="15.75" customHeight="1" x14ac:dyDescent="0.25">
      <c r="H909" s="5"/>
      <c r="K909" s="5"/>
      <c r="L909" s="5"/>
    </row>
    <row r="910" spans="8:12" ht="15.75" customHeight="1" x14ac:dyDescent="0.25">
      <c r="H910" s="5"/>
      <c r="K910" s="5"/>
      <c r="L910" s="5"/>
    </row>
    <row r="911" spans="8:12" ht="15.75" customHeight="1" x14ac:dyDescent="0.25">
      <c r="H911" s="5"/>
      <c r="K911" s="5"/>
      <c r="L911" s="5"/>
    </row>
    <row r="912" spans="8:12" ht="15.75" customHeight="1" x14ac:dyDescent="0.25">
      <c r="H912" s="5"/>
      <c r="K912" s="5"/>
      <c r="L912" s="5"/>
    </row>
    <row r="913" spans="8:12" ht="15.75" customHeight="1" x14ac:dyDescent="0.25">
      <c r="H913" s="5"/>
      <c r="K913" s="5"/>
      <c r="L913" s="5"/>
    </row>
    <row r="914" spans="8:12" ht="15.75" customHeight="1" x14ac:dyDescent="0.25">
      <c r="H914" s="5"/>
      <c r="K914" s="5"/>
      <c r="L914" s="5"/>
    </row>
    <row r="915" spans="8:12" ht="15.75" customHeight="1" x14ac:dyDescent="0.25">
      <c r="H915" s="5"/>
      <c r="K915" s="5"/>
      <c r="L915" s="5"/>
    </row>
    <row r="916" spans="8:12" ht="15.75" customHeight="1" x14ac:dyDescent="0.25">
      <c r="H916" s="5"/>
      <c r="K916" s="5"/>
      <c r="L916" s="5"/>
    </row>
    <row r="917" spans="8:12" ht="15.75" customHeight="1" x14ac:dyDescent="0.25">
      <c r="H917" s="5"/>
      <c r="K917" s="5"/>
      <c r="L917" s="5"/>
    </row>
    <row r="918" spans="8:12" ht="15.75" customHeight="1" x14ac:dyDescent="0.25">
      <c r="H918" s="5"/>
      <c r="K918" s="5"/>
      <c r="L918" s="5"/>
    </row>
    <row r="919" spans="8:12" ht="15.75" customHeight="1" x14ac:dyDescent="0.25">
      <c r="H919" s="5"/>
      <c r="K919" s="5"/>
      <c r="L919" s="5"/>
    </row>
    <row r="920" spans="8:12" ht="15.75" customHeight="1" x14ac:dyDescent="0.25">
      <c r="H920" s="5"/>
      <c r="K920" s="5"/>
      <c r="L920" s="5"/>
    </row>
    <row r="921" spans="8:12" ht="15.75" customHeight="1" x14ac:dyDescent="0.25">
      <c r="H921" s="5"/>
      <c r="K921" s="5"/>
      <c r="L921" s="5"/>
    </row>
    <row r="922" spans="8:12" ht="15.75" customHeight="1" x14ac:dyDescent="0.25">
      <c r="H922" s="5"/>
      <c r="K922" s="5"/>
      <c r="L922" s="5"/>
    </row>
    <row r="923" spans="8:12" ht="15.75" customHeight="1" x14ac:dyDescent="0.25">
      <c r="H923" s="5"/>
      <c r="K923" s="5"/>
      <c r="L923" s="5"/>
    </row>
    <row r="924" spans="8:12" ht="15.75" customHeight="1" x14ac:dyDescent="0.25">
      <c r="H924" s="5"/>
      <c r="K924" s="5"/>
      <c r="L924" s="5"/>
    </row>
    <row r="925" spans="8:12" ht="15.75" customHeight="1" x14ac:dyDescent="0.25">
      <c r="H925" s="5"/>
      <c r="K925" s="5"/>
      <c r="L925" s="5"/>
    </row>
    <row r="926" spans="8:12" ht="15.75" customHeight="1" x14ac:dyDescent="0.25">
      <c r="H926" s="5"/>
      <c r="K926" s="5"/>
      <c r="L926" s="5"/>
    </row>
    <row r="927" spans="8:12" ht="15.75" customHeight="1" x14ac:dyDescent="0.25">
      <c r="H927" s="5"/>
      <c r="K927" s="5"/>
      <c r="L927" s="5"/>
    </row>
    <row r="928" spans="8:12" ht="15.75" customHeight="1" x14ac:dyDescent="0.25">
      <c r="H928" s="5"/>
      <c r="K928" s="5"/>
      <c r="L928" s="5"/>
    </row>
    <row r="929" spans="8:12" ht="15.75" customHeight="1" x14ac:dyDescent="0.25">
      <c r="H929" s="5"/>
      <c r="K929" s="5"/>
      <c r="L929" s="5"/>
    </row>
    <row r="930" spans="8:12" ht="15.75" customHeight="1" x14ac:dyDescent="0.25">
      <c r="H930" s="5"/>
      <c r="K930" s="5"/>
      <c r="L930" s="5"/>
    </row>
    <row r="931" spans="8:12" ht="15.75" customHeight="1" x14ac:dyDescent="0.25">
      <c r="H931" s="5"/>
      <c r="K931" s="5"/>
      <c r="L931" s="5"/>
    </row>
    <row r="932" spans="8:12" ht="15.75" customHeight="1" x14ac:dyDescent="0.25">
      <c r="H932" s="5"/>
      <c r="K932" s="5"/>
      <c r="L932" s="5"/>
    </row>
    <row r="933" spans="8:12" ht="15.75" customHeight="1" x14ac:dyDescent="0.25">
      <c r="H933" s="5"/>
      <c r="K933" s="5"/>
      <c r="L933" s="5"/>
    </row>
    <row r="934" spans="8:12" ht="15.75" customHeight="1" x14ac:dyDescent="0.25">
      <c r="H934" s="5"/>
      <c r="K934" s="5"/>
      <c r="L934" s="5"/>
    </row>
    <row r="935" spans="8:12" ht="15.75" customHeight="1" x14ac:dyDescent="0.25">
      <c r="H935" s="5"/>
      <c r="K935" s="5"/>
      <c r="L935" s="5"/>
    </row>
    <row r="936" spans="8:12" ht="15.75" customHeight="1" x14ac:dyDescent="0.25">
      <c r="H936" s="5"/>
      <c r="K936" s="5"/>
      <c r="L936" s="5"/>
    </row>
    <row r="937" spans="8:12" ht="15.75" customHeight="1" x14ac:dyDescent="0.25">
      <c r="H937" s="5"/>
      <c r="K937" s="5"/>
      <c r="L937" s="5"/>
    </row>
    <row r="938" spans="8:12" ht="15.75" customHeight="1" x14ac:dyDescent="0.25">
      <c r="H938" s="5"/>
      <c r="K938" s="5"/>
      <c r="L938" s="5"/>
    </row>
    <row r="939" spans="8:12" ht="15.75" customHeight="1" x14ac:dyDescent="0.25">
      <c r="H939" s="5"/>
      <c r="K939" s="5"/>
      <c r="L939" s="5"/>
    </row>
    <row r="940" spans="8:12" ht="15.75" customHeight="1" x14ac:dyDescent="0.25">
      <c r="H940" s="5"/>
      <c r="K940" s="5"/>
      <c r="L940" s="5"/>
    </row>
    <row r="941" spans="8:12" ht="15.75" customHeight="1" x14ac:dyDescent="0.25">
      <c r="H941" s="5"/>
      <c r="K941" s="5"/>
      <c r="L941" s="5"/>
    </row>
    <row r="942" spans="8:12" ht="15.75" customHeight="1" x14ac:dyDescent="0.25">
      <c r="H942" s="5"/>
      <c r="K942" s="5"/>
      <c r="L942" s="5"/>
    </row>
    <row r="943" spans="8:12" ht="15.75" customHeight="1" x14ac:dyDescent="0.25">
      <c r="H943" s="5"/>
      <c r="K943" s="5"/>
      <c r="L943" s="5"/>
    </row>
    <row r="944" spans="8:12" ht="15.75" customHeight="1" x14ac:dyDescent="0.25">
      <c r="H944" s="5"/>
      <c r="K944" s="5"/>
      <c r="L944" s="5"/>
    </row>
    <row r="945" spans="8:12" ht="15.75" customHeight="1" x14ac:dyDescent="0.25">
      <c r="H945" s="5"/>
      <c r="K945" s="5"/>
      <c r="L945" s="5"/>
    </row>
    <row r="946" spans="8:12" ht="15.75" customHeight="1" x14ac:dyDescent="0.25">
      <c r="H946" s="5"/>
      <c r="K946" s="5"/>
      <c r="L946" s="5"/>
    </row>
    <row r="947" spans="8:12" ht="15.75" customHeight="1" x14ac:dyDescent="0.25">
      <c r="H947" s="5"/>
      <c r="K947" s="5"/>
      <c r="L947" s="5"/>
    </row>
    <row r="948" spans="8:12" ht="15.75" customHeight="1" x14ac:dyDescent="0.25">
      <c r="H948" s="5"/>
      <c r="K948" s="5"/>
      <c r="L948" s="5"/>
    </row>
    <row r="949" spans="8:12" ht="15.75" customHeight="1" x14ac:dyDescent="0.25">
      <c r="H949" s="5"/>
      <c r="K949" s="5"/>
      <c r="L949" s="5"/>
    </row>
    <row r="950" spans="8:12" ht="15.75" customHeight="1" x14ac:dyDescent="0.25">
      <c r="H950" s="5"/>
      <c r="K950" s="5"/>
      <c r="L950" s="5"/>
    </row>
    <row r="951" spans="8:12" ht="15.75" customHeight="1" x14ac:dyDescent="0.25">
      <c r="H951" s="5"/>
      <c r="K951" s="5"/>
      <c r="L951" s="5"/>
    </row>
    <row r="952" spans="8:12" ht="15.75" customHeight="1" x14ac:dyDescent="0.25">
      <c r="H952" s="5"/>
      <c r="K952" s="5"/>
      <c r="L952" s="5"/>
    </row>
    <row r="953" spans="8:12" ht="15.75" customHeight="1" x14ac:dyDescent="0.25">
      <c r="H953" s="5"/>
      <c r="K953" s="5"/>
      <c r="L953" s="5"/>
    </row>
    <row r="954" spans="8:12" ht="15.75" customHeight="1" x14ac:dyDescent="0.25">
      <c r="H954" s="5"/>
      <c r="K954" s="5"/>
      <c r="L954" s="5"/>
    </row>
    <row r="955" spans="8:12" ht="15.75" customHeight="1" x14ac:dyDescent="0.25">
      <c r="H955" s="5"/>
      <c r="K955" s="5"/>
      <c r="L955" s="5"/>
    </row>
    <row r="956" spans="8:12" ht="15.75" customHeight="1" x14ac:dyDescent="0.25">
      <c r="H956" s="5"/>
      <c r="K956" s="5"/>
      <c r="L956" s="5"/>
    </row>
    <row r="957" spans="8:12" ht="15.75" customHeight="1" x14ac:dyDescent="0.25">
      <c r="H957" s="5"/>
      <c r="K957" s="5"/>
      <c r="L957" s="5"/>
    </row>
    <row r="958" spans="8:12" ht="15.75" customHeight="1" x14ac:dyDescent="0.25">
      <c r="H958" s="5"/>
      <c r="K958" s="5"/>
      <c r="L958" s="5"/>
    </row>
    <row r="959" spans="8:12" ht="15.75" customHeight="1" x14ac:dyDescent="0.25">
      <c r="H959" s="5"/>
      <c r="K959" s="5"/>
      <c r="L959" s="5"/>
    </row>
    <row r="960" spans="8:12" ht="15.75" customHeight="1" x14ac:dyDescent="0.25">
      <c r="H960" s="5"/>
      <c r="K960" s="5"/>
      <c r="L960" s="5"/>
    </row>
    <row r="961" spans="8:12" ht="15.75" customHeight="1" x14ac:dyDescent="0.25">
      <c r="H961" s="5"/>
      <c r="K961" s="5"/>
      <c r="L961" s="5"/>
    </row>
    <row r="962" spans="8:12" ht="15.75" customHeight="1" x14ac:dyDescent="0.25">
      <c r="H962" s="5"/>
      <c r="K962" s="5"/>
      <c r="L962" s="5"/>
    </row>
    <row r="963" spans="8:12" ht="15.75" customHeight="1" x14ac:dyDescent="0.25">
      <c r="H963" s="5"/>
      <c r="K963" s="5"/>
      <c r="L963" s="5"/>
    </row>
    <row r="964" spans="8:12" ht="15.75" customHeight="1" x14ac:dyDescent="0.25">
      <c r="H964" s="5"/>
      <c r="K964" s="5"/>
      <c r="L964" s="5"/>
    </row>
    <row r="965" spans="8:12" ht="15.75" customHeight="1" x14ac:dyDescent="0.25">
      <c r="H965" s="5"/>
      <c r="K965" s="5"/>
      <c r="L965" s="5"/>
    </row>
    <row r="966" spans="8:12" ht="15.75" customHeight="1" x14ac:dyDescent="0.25">
      <c r="H966" s="5"/>
      <c r="K966" s="5"/>
      <c r="L966" s="5"/>
    </row>
    <row r="967" spans="8:12" ht="15.75" customHeight="1" x14ac:dyDescent="0.25">
      <c r="H967" s="5"/>
      <c r="K967" s="5"/>
      <c r="L967" s="5"/>
    </row>
    <row r="968" spans="8:12" ht="15.75" customHeight="1" x14ac:dyDescent="0.25">
      <c r="H968" s="5"/>
      <c r="K968" s="5"/>
      <c r="L968" s="5"/>
    </row>
    <row r="969" spans="8:12" ht="15.75" customHeight="1" x14ac:dyDescent="0.25">
      <c r="H969" s="5"/>
      <c r="K969" s="5"/>
      <c r="L969" s="5"/>
    </row>
    <row r="970" spans="8:12" ht="15.75" customHeight="1" x14ac:dyDescent="0.25">
      <c r="H970" s="5"/>
      <c r="K970" s="5"/>
      <c r="L970" s="5"/>
    </row>
    <row r="971" spans="8:12" ht="15.75" customHeight="1" x14ac:dyDescent="0.25">
      <c r="H971" s="5"/>
      <c r="K971" s="5"/>
      <c r="L971" s="5"/>
    </row>
    <row r="972" spans="8:12" ht="15.75" customHeight="1" x14ac:dyDescent="0.25">
      <c r="H972" s="5"/>
      <c r="K972" s="5"/>
      <c r="L972" s="5"/>
    </row>
    <row r="973" spans="8:12" ht="15.75" customHeight="1" x14ac:dyDescent="0.25">
      <c r="H973" s="5"/>
      <c r="K973" s="5"/>
      <c r="L973" s="5"/>
    </row>
    <row r="974" spans="8:12" ht="15.75" customHeight="1" x14ac:dyDescent="0.25">
      <c r="H974" s="5"/>
      <c r="K974" s="5"/>
      <c r="L974" s="5"/>
    </row>
    <row r="975" spans="8:12" ht="15.75" customHeight="1" x14ac:dyDescent="0.25">
      <c r="H975" s="5"/>
      <c r="K975" s="5"/>
      <c r="L975" s="5"/>
    </row>
    <row r="976" spans="8:12" ht="15.75" customHeight="1" x14ac:dyDescent="0.25">
      <c r="H976" s="5"/>
      <c r="K976" s="5"/>
      <c r="L976" s="5"/>
    </row>
    <row r="977" spans="8:12" ht="15.75" customHeight="1" x14ac:dyDescent="0.25">
      <c r="H977" s="5"/>
      <c r="K977" s="5"/>
      <c r="L977" s="5"/>
    </row>
    <row r="978" spans="8:12" ht="15.75" customHeight="1" x14ac:dyDescent="0.25">
      <c r="H978" s="5"/>
      <c r="K978" s="5"/>
      <c r="L978" s="5"/>
    </row>
    <row r="979" spans="8:12" ht="15.75" customHeight="1" x14ac:dyDescent="0.25">
      <c r="H979" s="5"/>
      <c r="K979" s="5"/>
      <c r="L979" s="5"/>
    </row>
    <row r="980" spans="8:12" ht="15.75" customHeight="1" x14ac:dyDescent="0.25">
      <c r="H980" s="5"/>
      <c r="K980" s="5"/>
      <c r="L980" s="5"/>
    </row>
    <row r="981" spans="8:12" ht="15.75" customHeight="1" x14ac:dyDescent="0.25">
      <c r="H981" s="5"/>
      <c r="K981" s="5"/>
      <c r="L981" s="5"/>
    </row>
    <row r="982" spans="8:12" ht="15.75" customHeight="1" x14ac:dyDescent="0.25">
      <c r="H982" s="5"/>
      <c r="K982" s="5"/>
      <c r="L982" s="5"/>
    </row>
    <row r="983" spans="8:12" ht="15.75" customHeight="1" x14ac:dyDescent="0.25">
      <c r="H983" s="5"/>
      <c r="K983" s="5"/>
      <c r="L983" s="5"/>
    </row>
    <row r="984" spans="8:12" ht="15.75" customHeight="1" x14ac:dyDescent="0.25">
      <c r="H984" s="5"/>
      <c r="K984" s="5"/>
      <c r="L984" s="5"/>
    </row>
    <row r="985" spans="8:12" ht="15.75" customHeight="1" x14ac:dyDescent="0.25">
      <c r="H985" s="5"/>
      <c r="K985" s="5"/>
      <c r="L985" s="5"/>
    </row>
    <row r="986" spans="8:12" ht="15.75" customHeight="1" x14ac:dyDescent="0.25">
      <c r="H986" s="5"/>
      <c r="K986" s="5"/>
      <c r="L986" s="5"/>
    </row>
    <row r="987" spans="8:12" ht="15.75" customHeight="1" x14ac:dyDescent="0.25">
      <c r="H987" s="5"/>
      <c r="K987" s="5"/>
      <c r="L987" s="5"/>
    </row>
    <row r="988" spans="8:12" ht="15.75" customHeight="1" x14ac:dyDescent="0.25">
      <c r="H988" s="5"/>
      <c r="K988" s="5"/>
      <c r="L988" s="5"/>
    </row>
    <row r="989" spans="8:12" ht="15.75" customHeight="1" x14ac:dyDescent="0.25">
      <c r="H989" s="5"/>
      <c r="K989" s="5"/>
      <c r="L989" s="5"/>
    </row>
    <row r="990" spans="8:12" ht="15.75" customHeight="1" x14ac:dyDescent="0.25">
      <c r="H990" s="5"/>
      <c r="K990" s="5"/>
      <c r="L990" s="5"/>
    </row>
    <row r="991" spans="8:12" ht="15.75" customHeight="1" x14ac:dyDescent="0.25">
      <c r="H991" s="5"/>
      <c r="K991" s="5"/>
      <c r="L991" s="5"/>
    </row>
    <row r="992" spans="8:12" ht="15.75" customHeight="1" x14ac:dyDescent="0.25">
      <c r="H992" s="5"/>
      <c r="K992" s="5"/>
      <c r="L992" s="5"/>
    </row>
    <row r="993" spans="8:12" ht="15.75" customHeight="1" x14ac:dyDescent="0.25">
      <c r="H993" s="5"/>
      <c r="K993" s="5"/>
      <c r="L993" s="5"/>
    </row>
    <row r="994" spans="8:12" ht="15.75" customHeight="1" x14ac:dyDescent="0.25">
      <c r="H994" s="5"/>
      <c r="K994" s="5"/>
      <c r="L994" s="5"/>
    </row>
    <row r="995" spans="8:12" ht="15.75" customHeight="1" x14ac:dyDescent="0.25">
      <c r="H995" s="5"/>
      <c r="K995" s="5"/>
      <c r="L995" s="5"/>
    </row>
    <row r="996" spans="8:12" ht="15.75" customHeight="1" x14ac:dyDescent="0.25">
      <c r="H996" s="5"/>
      <c r="K996" s="5"/>
      <c r="L996" s="5"/>
    </row>
    <row r="997" spans="8:12" ht="15.75" customHeight="1" x14ac:dyDescent="0.25">
      <c r="H997" s="5"/>
      <c r="K997" s="5"/>
      <c r="L997" s="5"/>
    </row>
    <row r="998" spans="8:12" ht="15.75" customHeight="1" x14ac:dyDescent="0.25">
      <c r="H998" s="5"/>
      <c r="K998" s="5"/>
      <c r="L998" s="5"/>
    </row>
    <row r="999" spans="8:12" ht="15.75" customHeight="1" x14ac:dyDescent="0.25">
      <c r="H999" s="5"/>
      <c r="K999" s="5"/>
      <c r="L999" s="5"/>
    </row>
    <row r="1000" spans="8:12" ht="15.75" customHeight="1" x14ac:dyDescent="0.25">
      <c r="H1000" s="5"/>
      <c r="K1000" s="5"/>
      <c r="L1000" s="5"/>
    </row>
    <row r="1001" spans="8:12" ht="15.75" customHeight="1" x14ac:dyDescent="0.25">
      <c r="H1001" s="5"/>
      <c r="K1001" s="5"/>
      <c r="L1001" s="5"/>
    </row>
    <row r="1002" spans="8:12" ht="15.75" customHeight="1" x14ac:dyDescent="0.25">
      <c r="H1002" s="5"/>
      <c r="K1002" s="5"/>
      <c r="L1002" s="5"/>
    </row>
    <row r="1003" spans="8:12" ht="15.75" customHeight="1" x14ac:dyDescent="0.25">
      <c r="H1003" s="5"/>
      <c r="K1003" s="5"/>
      <c r="L1003" s="5"/>
    </row>
    <row r="1004" spans="8:12" ht="15.75" customHeight="1" x14ac:dyDescent="0.25">
      <c r="H1004" s="5"/>
      <c r="K1004" s="5"/>
      <c r="L1004" s="5"/>
    </row>
  </sheetData>
  <sheetProtection algorithmName="SHA-512" hashValue="y9imJk+6NCfOcVsvdzoRpU7Kc2rFHkwhoDVrLAiVxoXaSWIfKekJzvGfUawdx/Lr9G2itIqkdAnwFYNN92jBVA==" saltValue="5Xty+xOHy4NDdNfaPUHVyQ==" spinCount="100000" sheet="1" objects="1" scenarios="1" selectLockedCells="1"/>
  <autoFilter ref="B1:W303" xr:uid="{00000000-0009-0000-0000-000000000000}"/>
  <mergeCells count="44">
    <mergeCell ref="M4:W4"/>
    <mergeCell ref="B4:H4"/>
    <mergeCell ref="I4:L4"/>
    <mergeCell ref="B47:H47"/>
    <mergeCell ref="I47:L47"/>
    <mergeCell ref="M47:W47"/>
    <mergeCell ref="M228:W228"/>
    <mergeCell ref="B262:D262"/>
    <mergeCell ref="F262:H262"/>
    <mergeCell ref="B264:H264"/>
    <mergeCell ref="F200:H200"/>
    <mergeCell ref="B202:H202"/>
    <mergeCell ref="I202:L202"/>
    <mergeCell ref="B228:H228"/>
    <mergeCell ref="I228:L228"/>
    <mergeCell ref="B282:D282"/>
    <mergeCell ref="H282:K282"/>
    <mergeCell ref="B267:D281"/>
    <mergeCell ref="I267:L281"/>
    <mergeCell ref="B226:D226"/>
    <mergeCell ref="F226:H226"/>
    <mergeCell ref="B266:D266"/>
    <mergeCell ref="E266:H266"/>
    <mergeCell ref="I266:L266"/>
    <mergeCell ref="M78:W78"/>
    <mergeCell ref="B78:H78"/>
    <mergeCell ref="I78:L78"/>
    <mergeCell ref="M202:W202"/>
    <mergeCell ref="B200:D200"/>
    <mergeCell ref="I153:L153"/>
    <mergeCell ref="B3:L3"/>
    <mergeCell ref="B45:D45"/>
    <mergeCell ref="F45:H45"/>
    <mergeCell ref="B105:D105"/>
    <mergeCell ref="F105:H105"/>
    <mergeCell ref="B76:D76"/>
    <mergeCell ref="F76:H76"/>
    <mergeCell ref="M107:W107"/>
    <mergeCell ref="B151:D151"/>
    <mergeCell ref="F151:H151"/>
    <mergeCell ref="M153:W153"/>
    <mergeCell ref="B107:H107"/>
    <mergeCell ref="I107:L107"/>
    <mergeCell ref="B153:H153"/>
  </mergeCells>
  <conditionalFormatting sqref="M265:W265">
    <cfRule type="cellIs" dxfId="273" priority="363" operator="lessThan">
      <formula>3000</formula>
    </cfRule>
  </conditionalFormatting>
  <conditionalFormatting sqref="M265:W265">
    <cfRule type="cellIs" dxfId="272" priority="364" operator="between">
      <formula>3000</formula>
      <formula>4000</formula>
    </cfRule>
  </conditionalFormatting>
  <conditionalFormatting sqref="M265:W265">
    <cfRule type="cellIs" dxfId="271" priority="365" operator="between">
      <formula>4000</formula>
      <formula>5000</formula>
    </cfRule>
  </conditionalFormatting>
  <conditionalFormatting sqref="M265:W265">
    <cfRule type="cellIs" dxfId="270" priority="366" operator="greaterThan">
      <formula>5000</formula>
    </cfRule>
  </conditionalFormatting>
  <conditionalFormatting sqref="M266:W266">
    <cfRule type="cellIs" dxfId="269" priority="367" operator="between">
      <formula>1000</formula>
      <formula>2000</formula>
    </cfRule>
  </conditionalFormatting>
  <conditionalFormatting sqref="M266:W266">
    <cfRule type="cellIs" dxfId="268" priority="368" operator="between">
      <formula>0</formula>
      <formula>1000</formula>
    </cfRule>
  </conditionalFormatting>
  <conditionalFormatting sqref="M266:W266">
    <cfRule type="cellIs" dxfId="267" priority="369" operator="lessThan">
      <formula>0</formula>
    </cfRule>
  </conditionalFormatting>
  <conditionalFormatting sqref="M5:W44 M108:W150">
    <cfRule type="cellIs" dxfId="266" priority="370" operator="greaterThan">
      <formula>200</formula>
    </cfRule>
  </conditionalFormatting>
  <conditionalFormatting sqref="A5:A17 A38:A282">
    <cfRule type="cellIs" dxfId="265" priority="377" operator="equal">
      <formula>"ultimo"</formula>
    </cfRule>
  </conditionalFormatting>
  <conditionalFormatting sqref="L6:L44 L108:L150">
    <cfRule type="cellIs" dxfId="264" priority="378" operator="greaterThan">
      <formula>300</formula>
    </cfRule>
  </conditionalFormatting>
  <conditionalFormatting sqref="B165:H168 B163:F164 H163:H164 B154:H162 B6:H44 B190:F191 H190:H191 B79:H104 B192:H199 B170:H188 B48:H75 B108:I150 B203:H225 B229:H261">
    <cfRule type="expression" dxfId="263" priority="379">
      <formula>$J6="TOTALMENTE PAGA"</formula>
    </cfRule>
  </conditionalFormatting>
  <conditionalFormatting sqref="B6:E10 B29:E29 B34:E35 B165:H168 B163:F164 H163:H164 B37:G37 B38:E41 B32:H32 B34:H34 B36:H36 B38:H38 B42:H42 B44:H44 B22:H22 J6:J44 B154:H162 B8:H10 B12:H14 F6:H43 B190:F191 H190:H191 F79:H104 B192:H199 B170:H188 F48:H75 B108:I150 J109:J150 B203:H225 B229:H261">
    <cfRule type="expression" dxfId="262" priority="380">
      <formula>IF($J6=$F6,1,0)</formula>
    </cfRule>
  </conditionalFormatting>
  <conditionalFormatting sqref="B15:E15">
    <cfRule type="expression" dxfId="261" priority="381">
      <formula>IF($J15=$F15,1,0)</formula>
    </cfRule>
  </conditionalFormatting>
  <conditionalFormatting sqref="B16:E16">
    <cfRule type="expression" dxfId="260" priority="382">
      <formula>IF($J16=$F16,1,0)</formula>
    </cfRule>
  </conditionalFormatting>
  <conditionalFormatting sqref="B18:E18">
    <cfRule type="expression" dxfId="259" priority="383">
      <formula>IF($J18=$F18,1,0)</formula>
    </cfRule>
  </conditionalFormatting>
  <conditionalFormatting sqref="B17:E17">
    <cfRule type="expression" dxfId="258" priority="384">
      <formula>IF($J17=$F17,1,0)</formula>
    </cfRule>
  </conditionalFormatting>
  <conditionalFormatting sqref="B32:E32">
    <cfRule type="expression" dxfId="257" priority="385">
      <formula>IF($J32=$F32,1,0)</formula>
    </cfRule>
  </conditionalFormatting>
  <conditionalFormatting sqref="B32:E32">
    <cfRule type="expression" dxfId="256" priority="386">
      <formula>IF($J32=$F32,1,0)</formula>
    </cfRule>
  </conditionalFormatting>
  <conditionalFormatting sqref="B31:E31">
    <cfRule type="expression" dxfId="255" priority="387">
      <formula>IF($J31=$F31,1,0)</formula>
    </cfRule>
  </conditionalFormatting>
  <conditionalFormatting sqref="B37:E37">
    <cfRule type="expression" dxfId="254" priority="388">
      <formula>IF($J37=$F37,1,0)</formula>
    </cfRule>
  </conditionalFormatting>
  <conditionalFormatting sqref="B63:E74">
    <cfRule type="expression" dxfId="253" priority="392">
      <formula>IF($J63=$F63,1,0)</formula>
    </cfRule>
  </conditionalFormatting>
  <conditionalFormatting sqref="B51:E62">
    <cfRule type="expression" dxfId="252" priority="393">
      <formula>IF($J51=$F51,1,0)</formula>
    </cfRule>
  </conditionalFormatting>
  <conditionalFormatting sqref="B24:E24">
    <cfRule type="expression" dxfId="251" priority="394">
      <formula>IF($J24=$F24,1,0)</formula>
    </cfRule>
  </conditionalFormatting>
  <conditionalFormatting sqref="B25:E25">
    <cfRule type="expression" dxfId="250" priority="395">
      <formula>IF($J25=$F25,1,0)</formula>
    </cfRule>
  </conditionalFormatting>
  <conditionalFormatting sqref="B26:E26">
    <cfRule type="expression" dxfId="249" priority="396">
      <formula>IF($J26=$F26,1,0)</formula>
    </cfRule>
  </conditionalFormatting>
  <conditionalFormatting sqref="B27:E27">
    <cfRule type="expression" dxfId="248" priority="397">
      <formula>IF($J27=$F27,1,0)</formula>
    </cfRule>
  </conditionalFormatting>
  <conditionalFormatting sqref="B28:E28">
    <cfRule type="expression" dxfId="247" priority="398">
      <formula>IF($J28=$F28,1,0)</formula>
    </cfRule>
  </conditionalFormatting>
  <conditionalFormatting sqref="B30:E30">
    <cfRule type="expression" dxfId="246" priority="399">
      <formula>IF($J30=$F30,1,0)</formula>
    </cfRule>
  </conditionalFormatting>
  <conditionalFormatting sqref="B31:E31">
    <cfRule type="expression" dxfId="245" priority="400">
      <formula>IF($J31=$F31,1,0)</formula>
    </cfRule>
  </conditionalFormatting>
  <conditionalFormatting sqref="B32:E32">
    <cfRule type="expression" dxfId="244" priority="401">
      <formula>IF($J32=$F32,1,0)</formula>
    </cfRule>
  </conditionalFormatting>
  <conditionalFormatting sqref="B33:E33">
    <cfRule type="expression" dxfId="243" priority="402">
      <formula>IF($J33=$F33,1,0)</formula>
    </cfRule>
  </conditionalFormatting>
  <conditionalFormatting sqref="B36:E36">
    <cfRule type="expression" dxfId="242" priority="403">
      <formula>IF($J36=$F36,1,0)</formula>
    </cfRule>
  </conditionalFormatting>
  <conditionalFormatting sqref="B37:E37">
    <cfRule type="expression" dxfId="241" priority="404">
      <formula>IF($J37=$F37,1,0)</formula>
    </cfRule>
  </conditionalFormatting>
  <conditionalFormatting sqref="B63:E74">
    <cfRule type="expression" dxfId="240" priority="425">
      <formula>IF($J63=$F63,1,0)</formula>
    </cfRule>
  </conditionalFormatting>
  <conditionalFormatting sqref="B48:E48">
    <cfRule type="expression" dxfId="239" priority="426">
      <formula>IF($J48=$F48,1,0)</formula>
    </cfRule>
  </conditionalFormatting>
  <conditionalFormatting sqref="B49:E49">
    <cfRule type="expression" dxfId="238" priority="427">
      <formula>IF($J49=$F49,1,0)</formula>
    </cfRule>
  </conditionalFormatting>
  <conditionalFormatting sqref="B50:E50">
    <cfRule type="expression" dxfId="237" priority="428">
      <formula>IF($J50=$F50,1,0)</formula>
    </cfRule>
  </conditionalFormatting>
  <conditionalFormatting sqref="B51:E62">
    <cfRule type="expression" dxfId="236" priority="429">
      <formula>IF($J51=$F51,1,0)</formula>
    </cfRule>
  </conditionalFormatting>
  <conditionalFormatting sqref="B19:E19">
    <cfRule type="expression" dxfId="235" priority="432">
      <formula>IF($J19=$F19,1,0)</formula>
    </cfRule>
  </conditionalFormatting>
  <conditionalFormatting sqref="C6:C44">
    <cfRule type="containsText" dxfId="234" priority="438" operator="containsText" text="j">
      <formula>NOT(ISERROR(SEARCH(("j"),(C6))))</formula>
    </cfRule>
  </conditionalFormatting>
  <conditionalFormatting sqref="D37:E37">
    <cfRule type="expression" dxfId="233" priority="439">
      <formula>IF($J37=$F37,1,0)</formula>
    </cfRule>
  </conditionalFormatting>
  <conditionalFormatting sqref="B14:E14">
    <cfRule type="expression" dxfId="232" priority="442">
      <formula>IF($J14=$F14,1,0)</formula>
    </cfRule>
  </conditionalFormatting>
  <conditionalFormatting sqref="B22:E22">
    <cfRule type="expression" dxfId="231" priority="443">
      <formula>IF($J22=$F22,1,0)</formula>
    </cfRule>
  </conditionalFormatting>
  <conditionalFormatting sqref="L5">
    <cfRule type="cellIs" dxfId="230" priority="446" operator="greaterThan">
      <formula>300</formula>
    </cfRule>
  </conditionalFormatting>
  <conditionalFormatting sqref="B5:I5 I6:I44">
    <cfRule type="expression" dxfId="229" priority="447">
      <formula>$J5="TOTALMENTE PAGA"</formula>
    </cfRule>
  </conditionalFormatting>
  <conditionalFormatting sqref="B5:I5 I6:I44">
    <cfRule type="expression" dxfId="228" priority="448">
      <formula>IF($J5=$F5,1,0)</formula>
    </cfRule>
  </conditionalFormatting>
  <conditionalFormatting sqref="C5">
    <cfRule type="containsText" dxfId="227" priority="449" operator="containsText" text="j">
      <formula>NOT(ISERROR(SEARCH(("j"),(C5))))</formula>
    </cfRule>
  </conditionalFormatting>
  <conditionalFormatting sqref="A4">
    <cfRule type="cellIs" dxfId="226" priority="450" operator="equal">
      <formula>"ultimo"</formula>
    </cfRule>
  </conditionalFormatting>
  <conditionalFormatting sqref="B13:E13">
    <cfRule type="expression" dxfId="225" priority="452">
      <formula>IF($J13=$F13,1,0)</formula>
    </cfRule>
  </conditionalFormatting>
  <conditionalFormatting sqref="B23:E23">
    <cfRule type="expression" dxfId="224" priority="359">
      <formula>IF($J23=$F23,1,0)</formula>
    </cfRule>
  </conditionalFormatting>
  <conditionalFormatting sqref="G163:G164">
    <cfRule type="expression" dxfId="223" priority="350">
      <formula>$J163="TOTALMENTE PAGA"</formula>
    </cfRule>
  </conditionalFormatting>
  <conditionalFormatting sqref="G163:G164">
    <cfRule type="expression" dxfId="222" priority="351">
      <formula>IF($J163=$F163,1,0)</formula>
    </cfRule>
  </conditionalFormatting>
  <conditionalFormatting sqref="B11:E11">
    <cfRule type="expression" dxfId="221" priority="345">
      <formula>IF($J11=$F11,1,0)</formula>
    </cfRule>
  </conditionalFormatting>
  <conditionalFormatting sqref="B21:E21">
    <cfRule type="expression" dxfId="220" priority="344">
      <formula>IF($J21=$F21,1,0)</formula>
    </cfRule>
  </conditionalFormatting>
  <conditionalFormatting sqref="B42:E42">
    <cfRule type="expression" dxfId="219" priority="339">
      <formula>IF($J42=$F42,1,0)</formula>
    </cfRule>
  </conditionalFormatting>
  <conditionalFormatting sqref="B8:E8">
    <cfRule type="expression" dxfId="218" priority="336">
      <formula>IF($J8=$F8,1,0)</formula>
    </cfRule>
  </conditionalFormatting>
  <conditionalFormatting sqref="B11:E11">
    <cfRule type="expression" dxfId="217" priority="331">
      <formula>IF($J11=$F11,1,0)</formula>
    </cfRule>
  </conditionalFormatting>
  <conditionalFormatting sqref="B11:E11">
    <cfRule type="expression" dxfId="216" priority="332">
      <formula>IF($J11=$F11,1,0)</formula>
    </cfRule>
  </conditionalFormatting>
  <conditionalFormatting sqref="B12:E12">
    <cfRule type="expression" dxfId="215" priority="333">
      <formula>IF($J12=$F12,1,0)</formula>
    </cfRule>
  </conditionalFormatting>
  <conditionalFormatting sqref="B12:E12">
    <cfRule type="expression" dxfId="214" priority="334">
      <formula>IF($J12=$F12,1,0)</formula>
    </cfRule>
  </conditionalFormatting>
  <conditionalFormatting sqref="B12:E12">
    <cfRule type="expression" dxfId="213" priority="335">
      <formula>IF($J12=$F12,1,0)</formula>
    </cfRule>
  </conditionalFormatting>
  <conditionalFormatting sqref="B13:E13">
    <cfRule type="expression" dxfId="212" priority="330">
      <formula>IF($J13=$F13,1,0)</formula>
    </cfRule>
  </conditionalFormatting>
  <conditionalFormatting sqref="A18:A25">
    <cfRule type="cellIs" dxfId="211" priority="327" operator="equal">
      <formula>"ultimo"</formula>
    </cfRule>
  </conditionalFormatting>
  <conditionalFormatting sqref="A26:A29">
    <cfRule type="cellIs" dxfId="210" priority="326" operator="equal">
      <formula>"ultimo"</formula>
    </cfRule>
  </conditionalFormatting>
  <conditionalFormatting sqref="A30:A31">
    <cfRule type="cellIs" dxfId="209" priority="324" operator="equal">
      <formula>"ultimo"</formula>
    </cfRule>
  </conditionalFormatting>
  <conditionalFormatting sqref="A32:A37">
    <cfRule type="cellIs" dxfId="208" priority="322" operator="equal">
      <formula>"ultimo"</formula>
    </cfRule>
  </conditionalFormatting>
  <conditionalFormatting sqref="B189:H189">
    <cfRule type="expression" dxfId="207" priority="313">
      <formula>$J189="TOTALMENTE PAGA"</formula>
    </cfRule>
  </conditionalFormatting>
  <conditionalFormatting sqref="B189:H189">
    <cfRule type="expression" dxfId="206" priority="314">
      <formula>IF($J189=$F189,1,0)</formula>
    </cfRule>
  </conditionalFormatting>
  <conditionalFormatting sqref="B39:E39">
    <cfRule type="expression" dxfId="205" priority="294">
      <formula>IF($J39=$F39,1,0)</formula>
    </cfRule>
  </conditionalFormatting>
  <conditionalFormatting sqref="B39:E39">
    <cfRule type="expression" dxfId="204" priority="295">
      <formula>IF($J39=$F39,1,0)</formula>
    </cfRule>
  </conditionalFormatting>
  <conditionalFormatting sqref="B39:E39">
    <cfRule type="expression" dxfId="203" priority="296">
      <formula>IF($J39=$F39,1,0)</formula>
    </cfRule>
  </conditionalFormatting>
  <conditionalFormatting sqref="B42:E42">
    <cfRule type="expression" dxfId="202" priority="258">
      <formula>IF($J42=$F42,1,0)</formula>
    </cfRule>
  </conditionalFormatting>
  <conditionalFormatting sqref="B42:E42">
    <cfRule type="expression" dxfId="201" priority="259">
      <formula>IF($J42=$F42,1,0)</formula>
    </cfRule>
  </conditionalFormatting>
  <conditionalFormatting sqref="B42:E42">
    <cfRule type="expression" dxfId="200" priority="260">
      <formula>IF($J42=$F42,1,0)</formula>
    </cfRule>
  </conditionalFormatting>
  <conditionalFormatting sqref="B44:E44">
    <cfRule type="expression" dxfId="199" priority="255">
      <formula>IF($J44=$F44,1,0)</formula>
    </cfRule>
  </conditionalFormatting>
  <conditionalFormatting sqref="B44:E44">
    <cfRule type="expression" dxfId="198" priority="256">
      <formula>IF($J44=$F44,1,0)</formula>
    </cfRule>
  </conditionalFormatting>
  <conditionalFormatting sqref="B44:E44">
    <cfRule type="expression" dxfId="197" priority="257">
      <formula>IF($J44=$F44,1,0)</formula>
    </cfRule>
  </conditionalFormatting>
  <conditionalFormatting sqref="B169:H169">
    <cfRule type="expression" dxfId="196" priority="249">
      <formula>$J169="TOTALMENTE PAGA"</formula>
    </cfRule>
  </conditionalFormatting>
  <conditionalFormatting sqref="B169:H169">
    <cfRule type="expression" dxfId="195" priority="250">
      <formula>IF($J169=$F169,1,0)</formula>
    </cfRule>
  </conditionalFormatting>
  <conditionalFormatting sqref="B35:E35">
    <cfRule type="expression" dxfId="194" priority="246">
      <formula>IF($J35=$F35,1,0)</formula>
    </cfRule>
  </conditionalFormatting>
  <conditionalFormatting sqref="B35:E35">
    <cfRule type="expression" dxfId="193" priority="247">
      <formula>IF($J35=$F35,1,0)</formula>
    </cfRule>
  </conditionalFormatting>
  <conditionalFormatting sqref="B35:E35">
    <cfRule type="expression" dxfId="192" priority="248">
      <formula>IF($J35=$F35,1,0)</formula>
    </cfRule>
  </conditionalFormatting>
  <conditionalFormatting sqref="B36:E36">
    <cfRule type="expression" dxfId="191" priority="243">
      <formula>IF($J36=$F36,1,0)</formula>
    </cfRule>
  </conditionalFormatting>
  <conditionalFormatting sqref="B36:E36">
    <cfRule type="expression" dxfId="190" priority="244">
      <formula>IF($J36=$F36,1,0)</formula>
    </cfRule>
  </conditionalFormatting>
  <conditionalFormatting sqref="B36:E36">
    <cfRule type="expression" dxfId="189" priority="245">
      <formula>IF($J36=$F36,1,0)</formula>
    </cfRule>
  </conditionalFormatting>
  <conditionalFormatting sqref="B38:E38">
    <cfRule type="expression" dxfId="188" priority="219">
      <formula>IF($J38=$F38,1,0)</formula>
    </cfRule>
  </conditionalFormatting>
  <conditionalFormatting sqref="B38:E38">
    <cfRule type="expression" dxfId="187" priority="220">
      <formula>IF($J38=$F38,1,0)</formula>
    </cfRule>
  </conditionalFormatting>
  <conditionalFormatting sqref="B38:E38">
    <cfRule type="expression" dxfId="186" priority="221">
      <formula>IF($J38=$F38,1,0)</formula>
    </cfRule>
  </conditionalFormatting>
  <conditionalFormatting sqref="B43:E43">
    <cfRule type="expression" dxfId="185" priority="216">
      <formula>IF($J43=$F43,1,0)</formula>
    </cfRule>
  </conditionalFormatting>
  <conditionalFormatting sqref="B43:E43">
    <cfRule type="expression" dxfId="184" priority="217">
      <formula>IF($J43=$F43,1,0)</formula>
    </cfRule>
  </conditionalFormatting>
  <conditionalFormatting sqref="B43:E43">
    <cfRule type="expression" dxfId="183" priority="218">
      <formula>IF($J43=$F43,1,0)</formula>
    </cfRule>
  </conditionalFormatting>
  <conditionalFormatting sqref="B44:E44">
    <cfRule type="expression" dxfId="182" priority="213">
      <formula>IF($J44=$F44,1,0)</formula>
    </cfRule>
  </conditionalFormatting>
  <conditionalFormatting sqref="B44:E44">
    <cfRule type="expression" dxfId="181" priority="214">
      <formula>IF($J44=$F44,1,0)</formula>
    </cfRule>
  </conditionalFormatting>
  <conditionalFormatting sqref="B44:E44">
    <cfRule type="expression" dxfId="180" priority="215">
      <formula>IF($J44=$F44,1,0)</formula>
    </cfRule>
  </conditionalFormatting>
  <conditionalFormatting sqref="B35:E35">
    <cfRule type="expression" dxfId="179" priority="212">
      <formula>IF($J35=$F35,1,0)</formula>
    </cfRule>
  </conditionalFormatting>
  <conditionalFormatting sqref="B35:E35">
    <cfRule type="expression" dxfId="178" priority="210">
      <formula>IF($J35=$F35,1,0)</formula>
    </cfRule>
  </conditionalFormatting>
  <conditionalFormatting sqref="B35:E35">
    <cfRule type="expression" dxfId="177" priority="211">
      <formula>IF($J35=$F35,1,0)</formula>
    </cfRule>
  </conditionalFormatting>
  <conditionalFormatting sqref="B36:E36">
    <cfRule type="expression" dxfId="176" priority="209">
      <formula>IF($J36=$F36,1,0)</formula>
    </cfRule>
  </conditionalFormatting>
  <conditionalFormatting sqref="B14:E14">
    <cfRule type="expression" dxfId="175" priority="206">
      <formula>IF($J14=$F14,1,0)</formula>
    </cfRule>
  </conditionalFormatting>
  <conditionalFormatting sqref="B14:E14">
    <cfRule type="expression" dxfId="174" priority="207">
      <formula>IF($J14=$F14,1,0)</formula>
    </cfRule>
  </conditionalFormatting>
  <conditionalFormatting sqref="B14:E14">
    <cfRule type="expression" dxfId="173" priority="208">
      <formula>IF($J14=$F14,1,0)</formula>
    </cfRule>
  </conditionalFormatting>
  <conditionalFormatting sqref="B14:E14">
    <cfRule type="expression" dxfId="172" priority="205">
      <formula>IF($J14=$F14,1,0)</formula>
    </cfRule>
  </conditionalFormatting>
  <conditionalFormatting sqref="B14:E14">
    <cfRule type="expression" dxfId="171" priority="203">
      <formula>IF($J14=$F14,1,0)</formula>
    </cfRule>
  </conditionalFormatting>
  <conditionalFormatting sqref="B14:E14">
    <cfRule type="expression" dxfId="170" priority="204">
      <formula>IF($J14=$F14,1,0)</formula>
    </cfRule>
  </conditionalFormatting>
  <conditionalFormatting sqref="B35:E35">
    <cfRule type="expression" dxfId="169" priority="202">
      <formula>IF($J35=$F35,1,0)</formula>
    </cfRule>
  </conditionalFormatting>
  <conditionalFormatting sqref="B35:E35">
    <cfRule type="expression" dxfId="168" priority="199">
      <formula>IF($J35=$F35,1,0)</formula>
    </cfRule>
  </conditionalFormatting>
  <conditionalFormatting sqref="B35:E35">
    <cfRule type="expression" dxfId="167" priority="200">
      <formula>IF($J35=$F35,1,0)</formula>
    </cfRule>
  </conditionalFormatting>
  <conditionalFormatting sqref="B35:E35">
    <cfRule type="expression" dxfId="166" priority="201">
      <formula>IF($J35=$F35,1,0)</formula>
    </cfRule>
  </conditionalFormatting>
  <conditionalFormatting sqref="B35:E35">
    <cfRule type="expression" dxfId="165" priority="198">
      <formula>IF($J35=$F35,1,0)</formula>
    </cfRule>
  </conditionalFormatting>
  <conditionalFormatting sqref="B79:E79">
    <cfRule type="expression" dxfId="164" priority="194">
      <formula>IF($J79=$F79,1,0)</formula>
    </cfRule>
  </conditionalFormatting>
  <conditionalFormatting sqref="C79">
    <cfRule type="containsText" dxfId="163" priority="195" operator="containsText" text="j">
      <formula>NOT(ISERROR(SEARCH(("j"),(C79))))</formula>
    </cfRule>
  </conditionalFormatting>
  <conditionalFormatting sqref="B80:E80">
    <cfRule type="expression" dxfId="162" priority="192">
      <formula>IF($J80=$F80,1,0)</formula>
    </cfRule>
  </conditionalFormatting>
  <conditionalFormatting sqref="C80">
    <cfRule type="containsText" dxfId="161" priority="193" operator="containsText" text="j">
      <formula>NOT(ISERROR(SEARCH(("j"),(C80))))</formula>
    </cfRule>
  </conditionalFormatting>
  <conditionalFormatting sqref="B82:E82">
    <cfRule type="expression" dxfId="160" priority="190">
      <formula>IF($J82=$F82,1,0)</formula>
    </cfRule>
  </conditionalFormatting>
  <conditionalFormatting sqref="C82">
    <cfRule type="containsText" dxfId="159" priority="191" operator="containsText" text="j">
      <formula>NOT(ISERROR(SEARCH(("j"),(C82))))</formula>
    </cfRule>
  </conditionalFormatting>
  <conditionalFormatting sqref="B81:E81">
    <cfRule type="expression" dxfId="158" priority="188">
      <formula>IF($J81=$F81,1,0)</formula>
    </cfRule>
  </conditionalFormatting>
  <conditionalFormatting sqref="C81">
    <cfRule type="containsText" dxfId="157" priority="189" operator="containsText" text="j">
      <formula>NOT(ISERROR(SEARCH(("j"),(C81))))</formula>
    </cfRule>
  </conditionalFormatting>
  <conditionalFormatting sqref="B83:E83">
    <cfRule type="expression" dxfId="156" priority="186">
      <formula>IF($J83=$F83,1,0)</formula>
    </cfRule>
  </conditionalFormatting>
  <conditionalFormatting sqref="C83">
    <cfRule type="containsText" dxfId="155" priority="187" operator="containsText" text="j">
      <formula>NOT(ISERROR(SEARCH(("j"),(C83))))</formula>
    </cfRule>
  </conditionalFormatting>
  <conditionalFormatting sqref="B84:E84">
    <cfRule type="expression" dxfId="154" priority="184">
      <formula>IF($J84=$F84,1,0)</formula>
    </cfRule>
  </conditionalFormatting>
  <conditionalFormatting sqref="C84">
    <cfRule type="containsText" dxfId="153" priority="185" operator="containsText" text="j">
      <formula>NOT(ISERROR(SEARCH(("j"),(C84))))</formula>
    </cfRule>
  </conditionalFormatting>
  <conditionalFormatting sqref="B85:E85">
    <cfRule type="expression" dxfId="152" priority="182">
      <formula>IF($J85=$F85,1,0)</formula>
    </cfRule>
  </conditionalFormatting>
  <conditionalFormatting sqref="C85">
    <cfRule type="containsText" dxfId="151" priority="183" operator="containsText" text="j">
      <formula>NOT(ISERROR(SEARCH(("j"),(C85))))</formula>
    </cfRule>
  </conditionalFormatting>
  <conditionalFormatting sqref="B86:E104">
    <cfRule type="expression" dxfId="150" priority="180">
      <formula>IF($J86=$F86,1,0)</formula>
    </cfRule>
  </conditionalFormatting>
  <conditionalFormatting sqref="C86:C104">
    <cfRule type="containsText" dxfId="149" priority="181" operator="containsText" text="j">
      <formula>NOT(ISERROR(SEARCH(("j"),(C86))))</formula>
    </cfRule>
  </conditionalFormatting>
  <conditionalFormatting sqref="B25:E25">
    <cfRule type="expression" dxfId="148" priority="179">
      <formula>IF($J25=$F25,1,0)</formula>
    </cfRule>
  </conditionalFormatting>
  <conditionalFormatting sqref="B24:E24">
    <cfRule type="expression" dxfId="147" priority="178">
      <formula>IF($J24=$F24,1,0)</formula>
    </cfRule>
  </conditionalFormatting>
  <conditionalFormatting sqref="B31:E31">
    <cfRule type="expression" dxfId="146" priority="177">
      <formula>IF($J31=$F31,1,0)</formula>
    </cfRule>
  </conditionalFormatting>
  <conditionalFormatting sqref="B30:E30">
    <cfRule type="expression" dxfId="145" priority="176">
      <formula>IF($J30=$F30,1,0)</formula>
    </cfRule>
  </conditionalFormatting>
  <conditionalFormatting sqref="B35:E35">
    <cfRule type="expression" dxfId="144" priority="175">
      <formula>IF($J35=$F35,1,0)</formula>
    </cfRule>
  </conditionalFormatting>
  <conditionalFormatting sqref="B34:E34">
    <cfRule type="expression" dxfId="143" priority="174">
      <formula>IF($J34=$F34,1,0)</formula>
    </cfRule>
  </conditionalFormatting>
  <conditionalFormatting sqref="B25:E25">
    <cfRule type="expression" dxfId="142" priority="168">
      <formula>IF($J25=$F25,1,0)</formula>
    </cfRule>
  </conditionalFormatting>
  <conditionalFormatting sqref="B29:E29">
    <cfRule type="expression" dxfId="141" priority="167">
      <formula>IF($J29=$F29,1,0)</formula>
    </cfRule>
  </conditionalFormatting>
  <conditionalFormatting sqref="B31:E31">
    <cfRule type="expression" dxfId="140" priority="166">
      <formula>IF($J31=$F31,1,0)</formula>
    </cfRule>
  </conditionalFormatting>
  <conditionalFormatting sqref="B35:E35">
    <cfRule type="expression" dxfId="139" priority="165">
      <formula>IF($J35=$F35,1,0)</formula>
    </cfRule>
  </conditionalFormatting>
  <conditionalFormatting sqref="B38:E38">
    <cfRule type="expression" dxfId="138" priority="164">
      <formula>IF($J38=$F38,1,0)</formula>
    </cfRule>
  </conditionalFormatting>
  <conditionalFormatting sqref="B41:E41">
    <cfRule type="expression" dxfId="137" priority="163">
      <formula>IF($J41=$F41,1,0)</formula>
    </cfRule>
  </conditionalFormatting>
  <conditionalFormatting sqref="B43:E43">
    <cfRule type="expression" dxfId="136" priority="162">
      <formula>IF($J43=$F43,1,0)</formula>
    </cfRule>
  </conditionalFormatting>
  <conditionalFormatting sqref="B36:E36">
    <cfRule type="expression" dxfId="135" priority="154">
      <formula>IF($J36=$F36,1,0)</formula>
    </cfRule>
  </conditionalFormatting>
  <conditionalFormatting sqref="B36:E36">
    <cfRule type="expression" dxfId="134" priority="153">
      <formula>IF($J36=$F36,1,0)</formula>
    </cfRule>
  </conditionalFormatting>
  <conditionalFormatting sqref="B36:E36">
    <cfRule type="expression" dxfId="133" priority="152">
      <formula>IF($J36=$F36,1,0)</formula>
    </cfRule>
  </conditionalFormatting>
  <conditionalFormatting sqref="B39:E39">
    <cfRule type="expression" dxfId="132" priority="151">
      <formula>IF($J39=$F39,1,0)</formula>
    </cfRule>
  </conditionalFormatting>
  <conditionalFormatting sqref="B39:E39">
    <cfRule type="expression" dxfId="131" priority="150">
      <formula>IF($J39=$F39,1,0)</formula>
    </cfRule>
  </conditionalFormatting>
  <conditionalFormatting sqref="B39:E39">
    <cfRule type="expression" dxfId="130" priority="149">
      <formula>IF($J39=$F39,1,0)</formula>
    </cfRule>
  </conditionalFormatting>
  <conditionalFormatting sqref="B42:E42">
    <cfRule type="expression" dxfId="129" priority="148">
      <formula>IF($J42=$F42,1,0)</formula>
    </cfRule>
  </conditionalFormatting>
  <conditionalFormatting sqref="B42:E42">
    <cfRule type="expression" dxfId="128" priority="147">
      <formula>IF($J42=$F42,1,0)</formula>
    </cfRule>
  </conditionalFormatting>
  <conditionalFormatting sqref="B42:E42">
    <cfRule type="expression" dxfId="127" priority="146">
      <formula>IF($J42=$F42,1,0)</formula>
    </cfRule>
  </conditionalFormatting>
  <conditionalFormatting sqref="B44:E44">
    <cfRule type="expression" dxfId="126" priority="145">
      <formula>IF($J44=$F44,1,0)</formula>
    </cfRule>
  </conditionalFormatting>
  <conditionalFormatting sqref="B44:E44">
    <cfRule type="expression" dxfId="125" priority="144">
      <formula>IF($J44=$F44,1,0)</formula>
    </cfRule>
  </conditionalFormatting>
  <conditionalFormatting sqref="B44:E44">
    <cfRule type="expression" dxfId="124" priority="143">
      <formula>IF($J44=$F44,1,0)</formula>
    </cfRule>
  </conditionalFormatting>
  <conditionalFormatting sqref="B33:E33">
    <cfRule type="expression" dxfId="123" priority="135">
      <formula>IF($J33=$F33,1,0)</formula>
    </cfRule>
  </conditionalFormatting>
  <conditionalFormatting sqref="B35:E35">
    <cfRule type="expression" dxfId="122" priority="134">
      <formula>IF($J35=$F35,1,0)</formula>
    </cfRule>
  </conditionalFormatting>
  <conditionalFormatting sqref="B44:E44">
    <cfRule type="expression" dxfId="121" priority="133">
      <formula>IF($J44=$F44,1,0)</formula>
    </cfRule>
  </conditionalFormatting>
  <conditionalFormatting sqref="B40:E40">
    <cfRule type="expression" dxfId="120" priority="132">
      <formula>IF($J40=$F40,1,0)</formula>
    </cfRule>
  </conditionalFormatting>
  <conditionalFormatting sqref="B37:E37">
    <cfRule type="expression" dxfId="119" priority="131">
      <formula>IF($J37=$F37,1,0)</formula>
    </cfRule>
  </conditionalFormatting>
  <conditionalFormatting sqref="B35:E35">
    <cfRule type="expression" dxfId="118" priority="126">
      <formula>IF($J35=$F35,1,0)</formula>
    </cfRule>
  </conditionalFormatting>
  <conditionalFormatting sqref="B35:E35">
    <cfRule type="expression" dxfId="117" priority="127">
      <formula>IF($J35=$F35,1,0)</formula>
    </cfRule>
  </conditionalFormatting>
  <conditionalFormatting sqref="B35:E35">
    <cfRule type="expression" dxfId="116" priority="128">
      <formula>IF($J35=$F35,1,0)</formula>
    </cfRule>
  </conditionalFormatting>
  <conditionalFormatting sqref="B37:E37">
    <cfRule type="expression" dxfId="115" priority="123">
      <formula>IF($J37=$F37,1,0)</formula>
    </cfRule>
  </conditionalFormatting>
  <conditionalFormatting sqref="B37:E37">
    <cfRule type="expression" dxfId="114" priority="124">
      <formula>IF($J37=$F37,1,0)</formula>
    </cfRule>
  </conditionalFormatting>
  <conditionalFormatting sqref="B37:E37">
    <cfRule type="expression" dxfId="113" priority="125">
      <formula>IF($J37=$F37,1,0)</formula>
    </cfRule>
  </conditionalFormatting>
  <conditionalFormatting sqref="B40:E40">
    <cfRule type="expression" dxfId="112" priority="120">
      <formula>IF($J40=$F40,1,0)</formula>
    </cfRule>
  </conditionalFormatting>
  <conditionalFormatting sqref="B40:E40">
    <cfRule type="expression" dxfId="111" priority="121">
      <formula>IF($J40=$F40,1,0)</formula>
    </cfRule>
  </conditionalFormatting>
  <conditionalFormatting sqref="B40:E40">
    <cfRule type="expression" dxfId="110" priority="122">
      <formula>IF($J40=$F40,1,0)</formula>
    </cfRule>
  </conditionalFormatting>
  <conditionalFormatting sqref="B43:E43">
    <cfRule type="expression" dxfId="109" priority="117">
      <formula>IF($J43=$F43,1,0)</formula>
    </cfRule>
  </conditionalFormatting>
  <conditionalFormatting sqref="B43:E43">
    <cfRule type="expression" dxfId="108" priority="118">
      <formula>IF($J43=$F43,1,0)</formula>
    </cfRule>
  </conditionalFormatting>
  <conditionalFormatting sqref="B43:E43">
    <cfRule type="expression" dxfId="107" priority="119">
      <formula>IF($J43=$F43,1,0)</formula>
    </cfRule>
  </conditionalFormatting>
  <conditionalFormatting sqref="B44:E44">
    <cfRule type="expression" dxfId="106" priority="114">
      <formula>IF($J44=$F44,1,0)</formula>
    </cfRule>
  </conditionalFormatting>
  <conditionalFormatting sqref="B44:E44">
    <cfRule type="expression" dxfId="105" priority="115">
      <formula>IF($J44=$F44,1,0)</formula>
    </cfRule>
  </conditionalFormatting>
  <conditionalFormatting sqref="B44:E44">
    <cfRule type="expression" dxfId="104" priority="116">
      <formula>IF($J44=$F44,1,0)</formula>
    </cfRule>
  </conditionalFormatting>
  <conditionalFormatting sqref="B32:E32">
    <cfRule type="expression" dxfId="103" priority="113">
      <formula>IF($J32=$F32,1,0)</formula>
    </cfRule>
  </conditionalFormatting>
  <conditionalFormatting sqref="B34:E34">
    <cfRule type="expression" dxfId="102" priority="112">
      <formula>IF($J34=$F34,1,0)</formula>
    </cfRule>
  </conditionalFormatting>
  <conditionalFormatting sqref="B36:E36">
    <cfRule type="expression" dxfId="101" priority="111">
      <formula>IF($J36=$F36,1,0)</formula>
    </cfRule>
  </conditionalFormatting>
  <conditionalFormatting sqref="B38:E38">
    <cfRule type="expression" dxfId="100" priority="110">
      <formula>IF($J38=$F38,1,0)</formula>
    </cfRule>
  </conditionalFormatting>
  <conditionalFormatting sqref="B42:E42">
    <cfRule type="expression" dxfId="99" priority="107">
      <formula>IF($J42=$F42,1,0)</formula>
    </cfRule>
  </conditionalFormatting>
  <conditionalFormatting sqref="B42:E42">
    <cfRule type="expression" dxfId="98" priority="108">
      <formula>IF($J42=$F42,1,0)</formula>
    </cfRule>
  </conditionalFormatting>
  <conditionalFormatting sqref="B42:E42">
    <cfRule type="expression" dxfId="97" priority="109">
      <formula>IF($J42=$F42,1,0)</formula>
    </cfRule>
  </conditionalFormatting>
  <conditionalFormatting sqref="B42:E42">
    <cfRule type="expression" dxfId="96" priority="106">
      <formula>IF($J42=$F42,1,0)</formula>
    </cfRule>
  </conditionalFormatting>
  <conditionalFormatting sqref="B42:E42">
    <cfRule type="expression" dxfId="95" priority="104">
      <formula>IF($J42=$F42,1,0)</formula>
    </cfRule>
  </conditionalFormatting>
  <conditionalFormatting sqref="B42:E42">
    <cfRule type="expression" dxfId="94" priority="105">
      <formula>IF($J42=$F42,1,0)</formula>
    </cfRule>
  </conditionalFormatting>
  <conditionalFormatting sqref="B42:E42">
    <cfRule type="expression" dxfId="93" priority="103">
      <formula>IF($J42=$F42,1,0)</formula>
    </cfRule>
  </conditionalFormatting>
  <conditionalFormatting sqref="B42:E42">
    <cfRule type="expression" dxfId="92" priority="100">
      <formula>IF($J42=$F42,1,0)</formula>
    </cfRule>
  </conditionalFormatting>
  <conditionalFormatting sqref="B42:E42">
    <cfRule type="expression" dxfId="91" priority="101">
      <formula>IF($J42=$F42,1,0)</formula>
    </cfRule>
  </conditionalFormatting>
  <conditionalFormatting sqref="B42:E42">
    <cfRule type="expression" dxfId="90" priority="102">
      <formula>IF($J42=$F42,1,0)</formula>
    </cfRule>
  </conditionalFormatting>
  <conditionalFormatting sqref="B42:E42">
    <cfRule type="expression" dxfId="89" priority="99">
      <formula>IF($J42=$F42,1,0)</formula>
    </cfRule>
  </conditionalFormatting>
  <conditionalFormatting sqref="B42:E42">
    <cfRule type="expression" dxfId="88" priority="98">
      <formula>IF($J42=$F42,1,0)</formula>
    </cfRule>
  </conditionalFormatting>
  <conditionalFormatting sqref="B42:E42">
    <cfRule type="expression" dxfId="87" priority="97">
      <formula>IF($J42=$F42,1,0)</formula>
    </cfRule>
  </conditionalFormatting>
  <conditionalFormatting sqref="B42:E42">
    <cfRule type="expression" dxfId="86" priority="96">
      <formula>IF($J42=$F42,1,0)</formula>
    </cfRule>
  </conditionalFormatting>
  <conditionalFormatting sqref="B42:E42">
    <cfRule type="expression" dxfId="85" priority="93">
      <formula>IF($J42=$F42,1,0)</formula>
    </cfRule>
  </conditionalFormatting>
  <conditionalFormatting sqref="B42:E42">
    <cfRule type="expression" dxfId="84" priority="94">
      <formula>IF($J42=$F42,1,0)</formula>
    </cfRule>
  </conditionalFormatting>
  <conditionalFormatting sqref="B42:E42">
    <cfRule type="expression" dxfId="83" priority="95">
      <formula>IF($J42=$F42,1,0)</formula>
    </cfRule>
  </conditionalFormatting>
  <conditionalFormatting sqref="B42:E42">
    <cfRule type="expression" dxfId="82" priority="90">
      <formula>IF($J42=$F42,1,0)</formula>
    </cfRule>
  </conditionalFormatting>
  <conditionalFormatting sqref="B42:E42">
    <cfRule type="expression" dxfId="81" priority="91">
      <formula>IF($J42=$F42,1,0)</formula>
    </cfRule>
  </conditionalFormatting>
  <conditionalFormatting sqref="B42:E42">
    <cfRule type="expression" dxfId="80" priority="92">
      <formula>IF($J42=$F42,1,0)</formula>
    </cfRule>
  </conditionalFormatting>
  <conditionalFormatting sqref="B42:E42">
    <cfRule type="expression" dxfId="79" priority="89">
      <formula>IF($J42=$F42,1,0)</formula>
    </cfRule>
  </conditionalFormatting>
  <conditionalFormatting sqref="B42:E42">
    <cfRule type="expression" dxfId="78" priority="87">
      <formula>IF($J42=$F42,1,0)</formula>
    </cfRule>
  </conditionalFormatting>
  <conditionalFormatting sqref="B42:E42">
    <cfRule type="expression" dxfId="77" priority="88">
      <formula>IF($J42=$F42,1,0)</formula>
    </cfRule>
  </conditionalFormatting>
  <conditionalFormatting sqref="B42:E42">
    <cfRule type="expression" dxfId="76" priority="86">
      <formula>IF($J42=$F42,1,0)</formula>
    </cfRule>
  </conditionalFormatting>
  <conditionalFormatting sqref="B42:E42">
    <cfRule type="expression" dxfId="75" priority="83">
      <formula>IF($J42=$F42,1,0)</formula>
    </cfRule>
  </conditionalFormatting>
  <conditionalFormatting sqref="B42:E42">
    <cfRule type="expression" dxfId="74" priority="84">
      <formula>IF($J42=$F42,1,0)</formula>
    </cfRule>
  </conditionalFormatting>
  <conditionalFormatting sqref="B42:E42">
    <cfRule type="expression" dxfId="73" priority="85">
      <formula>IF($J42=$F42,1,0)</formula>
    </cfRule>
  </conditionalFormatting>
  <conditionalFormatting sqref="B42:E42">
    <cfRule type="expression" dxfId="72" priority="82">
      <formula>IF($J42=$F42,1,0)</formula>
    </cfRule>
  </conditionalFormatting>
  <conditionalFormatting sqref="B42:E42">
    <cfRule type="expression" dxfId="71" priority="81">
      <formula>IF($J42=$F42,1,0)</formula>
    </cfRule>
  </conditionalFormatting>
  <conditionalFormatting sqref="B42:E42">
    <cfRule type="expression" dxfId="70" priority="80">
      <formula>IF($J42=$F42,1,0)</formula>
    </cfRule>
  </conditionalFormatting>
  <conditionalFormatting sqref="B42:E42">
    <cfRule type="expression" dxfId="69" priority="79">
      <formula>IF($J42=$F42,1,0)</formula>
    </cfRule>
  </conditionalFormatting>
  <conditionalFormatting sqref="B42:E42">
    <cfRule type="expression" dxfId="68" priority="76">
      <formula>IF($J42=$F42,1,0)</formula>
    </cfRule>
  </conditionalFormatting>
  <conditionalFormatting sqref="B42:E42">
    <cfRule type="expression" dxfId="67" priority="77">
      <formula>IF($J42=$F42,1,0)</formula>
    </cfRule>
  </conditionalFormatting>
  <conditionalFormatting sqref="B42:E42">
    <cfRule type="expression" dxfId="66" priority="78">
      <formula>IF($J42=$F42,1,0)</formula>
    </cfRule>
  </conditionalFormatting>
  <conditionalFormatting sqref="B44:E44">
    <cfRule type="expression" dxfId="65" priority="73">
      <formula>IF($J44=$F44,1,0)</formula>
    </cfRule>
  </conditionalFormatting>
  <conditionalFormatting sqref="B44:E44">
    <cfRule type="expression" dxfId="64" priority="74">
      <formula>IF($J44=$F44,1,0)</formula>
    </cfRule>
  </conditionalFormatting>
  <conditionalFormatting sqref="B44:E44">
    <cfRule type="expression" dxfId="63" priority="75">
      <formula>IF($J44=$F44,1,0)</formula>
    </cfRule>
  </conditionalFormatting>
  <conditionalFormatting sqref="B44:E44">
    <cfRule type="expression" dxfId="62" priority="72">
      <formula>IF($J44=$F44,1,0)</formula>
    </cfRule>
  </conditionalFormatting>
  <conditionalFormatting sqref="B44:E44">
    <cfRule type="expression" dxfId="61" priority="70">
      <formula>IF($J44=$F44,1,0)</formula>
    </cfRule>
  </conditionalFormatting>
  <conditionalFormatting sqref="B44:E44">
    <cfRule type="expression" dxfId="60" priority="71">
      <formula>IF($J44=$F44,1,0)</formula>
    </cfRule>
  </conditionalFormatting>
  <conditionalFormatting sqref="B44:E44">
    <cfRule type="expression" dxfId="59" priority="69">
      <formula>IF($J44=$F44,1,0)</formula>
    </cfRule>
  </conditionalFormatting>
  <conditionalFormatting sqref="B44:E44">
    <cfRule type="expression" dxfId="58" priority="66">
      <formula>IF($J44=$F44,1,0)</formula>
    </cfRule>
  </conditionalFormatting>
  <conditionalFormatting sqref="B44:E44">
    <cfRule type="expression" dxfId="57" priority="67">
      <formula>IF($J44=$F44,1,0)</formula>
    </cfRule>
  </conditionalFormatting>
  <conditionalFormatting sqref="B44:E44">
    <cfRule type="expression" dxfId="56" priority="68">
      <formula>IF($J44=$F44,1,0)</formula>
    </cfRule>
  </conditionalFormatting>
  <conditionalFormatting sqref="B44:E44">
    <cfRule type="expression" dxfId="55" priority="65">
      <formula>IF($J44=$F44,1,0)</formula>
    </cfRule>
  </conditionalFormatting>
  <conditionalFormatting sqref="B44:E44">
    <cfRule type="expression" dxfId="54" priority="64">
      <formula>IF($J44=$F44,1,0)</formula>
    </cfRule>
  </conditionalFormatting>
  <conditionalFormatting sqref="B44:E44">
    <cfRule type="expression" dxfId="53" priority="63">
      <formula>IF($J44=$F44,1,0)</formula>
    </cfRule>
  </conditionalFormatting>
  <conditionalFormatting sqref="B44:E44">
    <cfRule type="expression" dxfId="52" priority="62">
      <formula>IF($J44=$F44,1,0)</formula>
    </cfRule>
  </conditionalFormatting>
  <conditionalFormatting sqref="B44:E44">
    <cfRule type="expression" dxfId="51" priority="59">
      <formula>IF($J44=$F44,1,0)</formula>
    </cfRule>
  </conditionalFormatting>
  <conditionalFormatting sqref="B44:E44">
    <cfRule type="expression" dxfId="50" priority="60">
      <formula>IF($J44=$F44,1,0)</formula>
    </cfRule>
  </conditionalFormatting>
  <conditionalFormatting sqref="B44:E44">
    <cfRule type="expression" dxfId="49" priority="61">
      <formula>IF($J44=$F44,1,0)</formula>
    </cfRule>
  </conditionalFormatting>
  <conditionalFormatting sqref="B22:E22">
    <cfRule type="expression" dxfId="48" priority="56">
      <formula>IF($J22=$F22,1,0)</formula>
    </cfRule>
  </conditionalFormatting>
  <conditionalFormatting sqref="B22:E22">
    <cfRule type="expression" dxfId="47" priority="57">
      <formula>IF($J22=$F22,1,0)</formula>
    </cfRule>
  </conditionalFormatting>
  <conditionalFormatting sqref="B22:E22">
    <cfRule type="expression" dxfId="46" priority="58">
      <formula>IF($J22=$F22,1,0)</formula>
    </cfRule>
  </conditionalFormatting>
  <conditionalFormatting sqref="D12:E12">
    <cfRule type="expression" dxfId="45" priority="55">
      <formula>IF($J12=$F12,1,0)</formula>
    </cfRule>
  </conditionalFormatting>
  <conditionalFormatting sqref="D12:E12">
    <cfRule type="expression" dxfId="44" priority="53">
      <formula>IF($J12=$F12,1,0)</formula>
    </cfRule>
  </conditionalFormatting>
  <conditionalFormatting sqref="D12:E12">
    <cfRule type="expression" dxfId="43" priority="54">
      <formula>IF($J12=$F12,1,0)</formula>
    </cfRule>
  </conditionalFormatting>
  <conditionalFormatting sqref="I48:I75">
    <cfRule type="expression" dxfId="42" priority="49">
      <formula>$J48="TOTALMENTE PAGA"</formula>
    </cfRule>
  </conditionalFormatting>
  <conditionalFormatting sqref="I48:I75">
    <cfRule type="expression" dxfId="41" priority="50">
      <formula>IF($J48=$F48,1,0)</formula>
    </cfRule>
  </conditionalFormatting>
  <conditionalFormatting sqref="J49:J75">
    <cfRule type="expression" dxfId="40" priority="48">
      <formula>IF($J49=$F49,1,0)</formula>
    </cfRule>
  </conditionalFormatting>
  <conditionalFormatting sqref="L48:L75">
    <cfRule type="cellIs" dxfId="39" priority="47" operator="greaterThan">
      <formula>300</formula>
    </cfRule>
  </conditionalFormatting>
  <conditionalFormatting sqref="I79:I104">
    <cfRule type="expression" dxfId="38" priority="45">
      <formula>$J79="TOTALMENTE PAGA"</formula>
    </cfRule>
  </conditionalFormatting>
  <conditionalFormatting sqref="I79:I104">
    <cfRule type="expression" dxfId="37" priority="46">
      <formula>IF($J79=$F79,1,0)</formula>
    </cfRule>
  </conditionalFormatting>
  <conditionalFormatting sqref="J79:J104">
    <cfRule type="expression" dxfId="36" priority="44">
      <formula>IF($J79=$F79,1,0)</formula>
    </cfRule>
  </conditionalFormatting>
  <conditionalFormatting sqref="L79:L104">
    <cfRule type="cellIs" dxfId="35" priority="43" operator="greaterThan">
      <formula>300</formula>
    </cfRule>
  </conditionalFormatting>
  <conditionalFormatting sqref="I154:I199">
    <cfRule type="expression" dxfId="34" priority="37">
      <formula>$J154="TOTALMENTE PAGA"</formula>
    </cfRule>
  </conditionalFormatting>
  <conditionalFormatting sqref="I154:I199">
    <cfRule type="expression" dxfId="33" priority="38">
      <formula>IF($J154=$F154,1,0)</formula>
    </cfRule>
  </conditionalFormatting>
  <conditionalFormatting sqref="J155:J199">
    <cfRule type="expression" dxfId="32" priority="36">
      <formula>IF($J155=$F155,1,0)</formula>
    </cfRule>
  </conditionalFormatting>
  <conditionalFormatting sqref="L154:L199">
    <cfRule type="cellIs" dxfId="31" priority="35" operator="greaterThan">
      <formula>300</formula>
    </cfRule>
  </conditionalFormatting>
  <conditionalFormatting sqref="I203:I225">
    <cfRule type="expression" dxfId="30" priority="33">
      <formula>$J203="TOTALMENTE PAGA"</formula>
    </cfRule>
  </conditionalFormatting>
  <conditionalFormatting sqref="I203:I225">
    <cfRule type="expression" dxfId="29" priority="34">
      <formula>IF($J203=$F203,1,0)</formula>
    </cfRule>
  </conditionalFormatting>
  <conditionalFormatting sqref="J204:J225">
    <cfRule type="expression" dxfId="28" priority="32">
      <formula>IF($J204=$F204,1,0)</formula>
    </cfRule>
  </conditionalFormatting>
  <conditionalFormatting sqref="L203:L225">
    <cfRule type="cellIs" dxfId="27" priority="31" operator="greaterThan">
      <formula>300</formula>
    </cfRule>
  </conditionalFormatting>
  <conditionalFormatting sqref="I229:I261">
    <cfRule type="expression" dxfId="26" priority="29">
      <formula>$J229="TOTALMENTE PAGA"</formula>
    </cfRule>
  </conditionalFormatting>
  <conditionalFormatting sqref="I229:I261">
    <cfRule type="expression" dxfId="25" priority="30">
      <formula>IF($J229=$F229,1,0)</formula>
    </cfRule>
  </conditionalFormatting>
  <conditionalFormatting sqref="J230:J261">
    <cfRule type="expression" dxfId="24" priority="28">
      <formula>IF($J230=$F230,1,0)</formula>
    </cfRule>
  </conditionalFormatting>
  <conditionalFormatting sqref="L229:L261">
    <cfRule type="cellIs" dxfId="23" priority="27" operator="greaterThan">
      <formula>300</formula>
    </cfRule>
  </conditionalFormatting>
  <conditionalFormatting sqref="M48:W75">
    <cfRule type="cellIs" dxfId="22" priority="26" operator="greaterThan">
      <formula>200</formula>
    </cfRule>
  </conditionalFormatting>
  <conditionalFormatting sqref="M79:W104">
    <cfRule type="cellIs" dxfId="21" priority="25" operator="greaterThan">
      <formula>200</formula>
    </cfRule>
  </conditionalFormatting>
  <conditionalFormatting sqref="M154:W199">
    <cfRule type="cellIs" dxfId="20" priority="23" operator="greaterThan">
      <formula>200</formula>
    </cfRule>
  </conditionalFormatting>
  <conditionalFormatting sqref="M203:W225">
    <cfRule type="cellIs" dxfId="19" priority="22" operator="greaterThan">
      <formula>200</formula>
    </cfRule>
  </conditionalFormatting>
  <conditionalFormatting sqref="M229:W261">
    <cfRule type="cellIs" dxfId="18" priority="21" operator="greaterThan">
      <formula>200</formula>
    </cfRule>
  </conditionalFormatting>
  <conditionalFormatting sqref="B75:E75">
    <cfRule type="expression" dxfId="17" priority="19">
      <formula>IF($J75=$F75,1,0)</formula>
    </cfRule>
  </conditionalFormatting>
  <conditionalFormatting sqref="B75:E75">
    <cfRule type="expression" dxfId="16" priority="20">
      <formula>IF($J75=$F75,1,0)</formula>
    </cfRule>
  </conditionalFormatting>
  <conditionalFormatting sqref="B27:E27">
    <cfRule type="expression" dxfId="15" priority="18">
      <formula>IF($J27=$F27,1,0)</formula>
    </cfRule>
  </conditionalFormatting>
  <conditionalFormatting sqref="D20:E20">
    <cfRule type="expression" dxfId="14" priority="17">
      <formula>IF($J20=$F20,1,0)</formula>
    </cfRule>
  </conditionalFormatting>
  <conditionalFormatting sqref="B12:E12">
    <cfRule type="expression" dxfId="13" priority="16">
      <formula>IF($J12=$F12,1,0)</formula>
    </cfRule>
  </conditionalFormatting>
  <conditionalFormatting sqref="C22:E22">
    <cfRule type="expression" dxfId="12" priority="15">
      <formula>IF($J22=$F22,1,0)</formula>
    </cfRule>
  </conditionalFormatting>
  <conditionalFormatting sqref="J5">
    <cfRule type="expression" dxfId="11" priority="8">
      <formula>IF($J5=$F5,1,0)</formula>
    </cfRule>
  </conditionalFormatting>
  <conditionalFormatting sqref="J48">
    <cfRule type="expression" dxfId="10" priority="7">
      <formula>IF($J48=$F48,1,0)</formula>
    </cfRule>
  </conditionalFormatting>
  <conditionalFormatting sqref="J108">
    <cfRule type="expression" dxfId="9" priority="6">
      <formula>IF($J108=$F108,1,0)</formula>
    </cfRule>
  </conditionalFormatting>
  <conditionalFormatting sqref="J154">
    <cfRule type="expression" dxfId="8" priority="5">
      <formula>IF($J154=$F154,1,0)</formula>
    </cfRule>
  </conditionalFormatting>
  <conditionalFormatting sqref="J203">
    <cfRule type="expression" dxfId="7" priority="4">
      <formula>IF($J203=$F203,1,0)</formula>
    </cfRule>
  </conditionalFormatting>
  <conditionalFormatting sqref="J229">
    <cfRule type="expression" dxfId="6" priority="3">
      <formula>IF($J229=$F229,1,0)</formula>
    </cfRule>
  </conditionalFormatting>
  <conditionalFormatting sqref="G190:G191">
    <cfRule type="expression" dxfId="5" priority="1">
      <formula>$J190="TOTALMENTE PAGA"</formula>
    </cfRule>
  </conditionalFormatting>
  <conditionalFormatting sqref="G190:G191">
    <cfRule type="expression" dxfId="4" priority="2">
      <formula>IF($J190=$F190,1,0)</formula>
    </cfRule>
  </conditionalFormatting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pagar_itens_pagos">
                <anchor moveWithCells="1" sizeWithCells="1">
                  <from>
                    <xdr:col>0</xdr:col>
                    <xdr:colOff>95250</xdr:colOff>
                    <xdr:row>2</xdr:row>
                    <xdr:rowOff>123825</xdr:rowOff>
                  </from>
                  <to>
                    <xdr:col>0</xdr:col>
                    <xdr:colOff>981075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pagar_itens_pagos">
                <anchor moveWithCells="1" sizeWithCells="1">
                  <from>
                    <xdr:col>0</xdr:col>
                    <xdr:colOff>95250</xdr:colOff>
                    <xdr:row>38</xdr:row>
                    <xdr:rowOff>152400</xdr:rowOff>
                  </from>
                  <to>
                    <xdr:col>0</xdr:col>
                    <xdr:colOff>981075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pagar_itens_pagos">
                <anchor moveWithCells="1" sizeWithCells="1">
                  <from>
                    <xdr:col>0</xdr:col>
                    <xdr:colOff>95250</xdr:colOff>
                    <xdr:row>152</xdr:row>
                    <xdr:rowOff>152400</xdr:rowOff>
                  </from>
                  <to>
                    <xdr:col>0</xdr:col>
                    <xdr:colOff>981075</xdr:colOff>
                    <xdr:row>157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opia_gastos_aluguel">
                <anchor moveWithCells="1" sizeWithCells="1">
                  <from>
                    <xdr:col>8</xdr:col>
                    <xdr:colOff>123825</xdr:colOff>
                    <xdr:row>283</xdr:row>
                    <xdr:rowOff>85725</xdr:rowOff>
                  </from>
                  <to>
                    <xdr:col>8</xdr:col>
                    <xdr:colOff>1714500</xdr:colOff>
                    <xdr:row>288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pagar_itens_pagos">
                <anchor moveWithCells="1" sizeWithCells="1">
                  <from>
                    <xdr:col>0</xdr:col>
                    <xdr:colOff>95250</xdr:colOff>
                    <xdr:row>77</xdr:row>
                    <xdr:rowOff>152400</xdr:rowOff>
                  </from>
                  <to>
                    <xdr:col>0</xdr:col>
                    <xdr:colOff>981075</xdr:colOff>
                    <xdr:row>82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apagar_itens_pagos">
                <anchor moveWithCells="1" sizeWithCells="1">
                  <from>
                    <xdr:col>0</xdr:col>
                    <xdr:colOff>95250</xdr:colOff>
                    <xdr:row>201</xdr:row>
                    <xdr:rowOff>152400</xdr:rowOff>
                  </from>
                  <to>
                    <xdr:col>0</xdr:col>
                    <xdr:colOff>981075</xdr:colOff>
                    <xdr:row>206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pagar_itens_pagos">
                <anchor moveWithCells="1" sizeWithCells="1">
                  <from>
                    <xdr:col>0</xdr:col>
                    <xdr:colOff>95250</xdr:colOff>
                    <xdr:row>227</xdr:row>
                    <xdr:rowOff>152400</xdr:rowOff>
                  </from>
                  <to>
                    <xdr:col>0</xdr:col>
                    <xdr:colOff>981075</xdr:colOff>
                    <xdr:row>232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M1000"/>
  <sheetViews>
    <sheetView topLeftCell="B1" workbookViewId="0">
      <selection activeCell="B35" sqref="B35"/>
    </sheetView>
  </sheetViews>
  <sheetFormatPr defaultColWidth="14.42578125" defaultRowHeight="15" customHeight="1" x14ac:dyDescent="0.25"/>
  <cols>
    <col min="1" max="1" width="3.5703125" hidden="1" customWidth="1"/>
    <col min="2" max="2" width="70.140625" customWidth="1"/>
    <col min="3" max="3" width="13.85546875" style="152" customWidth="1"/>
    <col min="4" max="11" width="13.28515625" customWidth="1"/>
  </cols>
  <sheetData>
    <row r="1" spans="1:13" ht="14.25" customHeight="1" x14ac:dyDescent="0.25">
      <c r="A1" s="154"/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</row>
    <row r="2" spans="1:13" ht="14.25" customHeight="1" x14ac:dyDescent="0.25">
      <c r="A2" s="154"/>
      <c r="B2" s="44" t="s">
        <v>43</v>
      </c>
      <c r="C2" s="44" t="s">
        <v>53</v>
      </c>
      <c r="D2" s="44" t="s">
        <v>54</v>
      </c>
      <c r="E2" s="44" t="s">
        <v>55</v>
      </c>
      <c r="F2" s="154"/>
      <c r="G2" s="154"/>
      <c r="H2" s="154"/>
      <c r="I2" s="154"/>
      <c r="J2" s="154"/>
      <c r="K2" s="154"/>
      <c r="L2" s="154"/>
      <c r="M2" s="154"/>
    </row>
    <row r="3" spans="1:13" ht="14.25" customHeight="1" x14ac:dyDescent="0.25">
      <c r="A3" s="154"/>
      <c r="B3" s="45" t="str">
        <f>DESCRITIVO!B4</f>
        <v>CARTÃO-01 | FINAL:XXXX</v>
      </c>
      <c r="C3" s="406" t="str">
        <f ca="1">DESCRITIVO!B3</f>
        <v>ABRIL</v>
      </c>
      <c r="D3" s="21">
        <f ca="1">DESCRITIVO!I45</f>
        <v>400</v>
      </c>
      <c r="E3" s="46">
        <f ca="1">DESCRITIVO!L45</f>
        <v>800</v>
      </c>
      <c r="F3" s="154"/>
      <c r="G3" s="7"/>
      <c r="H3" s="5"/>
      <c r="I3" s="154"/>
      <c r="J3" s="154"/>
      <c r="K3" s="154"/>
      <c r="L3" s="154"/>
      <c r="M3" s="154"/>
    </row>
    <row r="4" spans="1:13" ht="14.25" customHeight="1" x14ac:dyDescent="0.25">
      <c r="A4" s="154"/>
      <c r="B4" s="47" t="str">
        <f>DESCRITIVO!B47</f>
        <v>CARTÃO-02 | FINAL:XXXX</v>
      </c>
      <c r="C4" s="407"/>
      <c r="D4" s="48">
        <f ca="1">DESCRITIVO!I76</f>
        <v>0</v>
      </c>
      <c r="E4" s="49">
        <f ca="1">DESCRITIVO!L76</f>
        <v>0</v>
      </c>
      <c r="F4" s="154"/>
      <c r="G4" s="154"/>
      <c r="H4" s="154"/>
      <c r="I4" s="154"/>
      <c r="J4" s="154"/>
      <c r="K4" s="154"/>
      <c r="L4" s="154"/>
      <c r="M4" s="154"/>
    </row>
    <row r="5" spans="1:13" ht="14.25" customHeight="1" x14ac:dyDescent="0.25">
      <c r="A5" s="154"/>
      <c r="B5" s="45" t="str">
        <f>DESCRITIVO!B78</f>
        <v>CARTÃO-03 | FINAL:XXXX</v>
      </c>
      <c r="C5" s="407"/>
      <c r="D5" s="21">
        <f ca="1">DESCRITIVO!I105</f>
        <v>0</v>
      </c>
      <c r="E5" s="46">
        <f ca="1">DESCRITIVO!L105</f>
        <v>0</v>
      </c>
      <c r="F5" s="154"/>
      <c r="G5" s="154"/>
      <c r="H5" s="154"/>
      <c r="I5" s="154"/>
      <c r="J5" s="154"/>
      <c r="K5" s="154"/>
      <c r="L5" s="154"/>
      <c r="M5" s="154"/>
    </row>
    <row r="6" spans="1:13" ht="14.25" customHeight="1" x14ac:dyDescent="0.25">
      <c r="A6" s="154"/>
      <c r="B6" s="47" t="str">
        <f>DESCRITIVO!B107</f>
        <v>CARTÃO-04 | FINAL:XXXX</v>
      </c>
      <c r="C6" s="407"/>
      <c r="D6" s="48">
        <f ca="1">DESCRITIVO!I151</f>
        <v>0</v>
      </c>
      <c r="E6" s="49">
        <f ca="1">DESCRITIVO!L151</f>
        <v>0</v>
      </c>
      <c r="F6" s="154"/>
      <c r="G6" s="154"/>
      <c r="H6" s="154"/>
      <c r="I6" s="154"/>
      <c r="J6" s="154"/>
      <c r="K6" s="154"/>
      <c r="L6" s="154"/>
      <c r="M6" s="154"/>
    </row>
    <row r="7" spans="1:13" ht="14.25" customHeight="1" x14ac:dyDescent="0.25">
      <c r="A7" s="154"/>
      <c r="B7" s="45" t="str">
        <f>DESCRITIVO!B153</f>
        <v>CARTÃO-05 | FINAL:XXXX</v>
      </c>
      <c r="C7" s="407"/>
      <c r="D7" s="21">
        <f ca="1">DESCRITIVO!I200</f>
        <v>0</v>
      </c>
      <c r="E7" s="46">
        <f ca="1">DESCRITIVO!L200</f>
        <v>0</v>
      </c>
      <c r="F7" s="154"/>
      <c r="G7" s="154"/>
      <c r="H7" s="154"/>
      <c r="I7" s="154"/>
      <c r="J7" s="154"/>
      <c r="K7" s="154"/>
      <c r="L7" s="154"/>
      <c r="M7" s="154"/>
    </row>
    <row r="8" spans="1:13" ht="14.25" customHeight="1" x14ac:dyDescent="0.25">
      <c r="A8" s="154"/>
      <c r="B8" s="47" t="str">
        <f>DESCRITIVO!B202</f>
        <v>CARTÃO-06 | FINAL:XXXX</v>
      </c>
      <c r="C8" s="407"/>
      <c r="D8" s="48">
        <f ca="1">DESCRITIVO!I226</f>
        <v>0</v>
      </c>
      <c r="E8" s="49">
        <f ca="1">DESCRITIVO!L226</f>
        <v>0</v>
      </c>
      <c r="F8" s="154"/>
      <c r="G8" s="154"/>
      <c r="H8" s="154"/>
      <c r="I8" s="154"/>
      <c r="J8" s="154"/>
      <c r="K8" s="154"/>
      <c r="L8" s="154"/>
      <c r="M8" s="154"/>
    </row>
    <row r="9" spans="1:13" ht="14.25" customHeight="1" thickBot="1" x14ac:dyDescent="0.3">
      <c r="A9" s="154"/>
      <c r="B9" s="45" t="str">
        <f>DESCRITIVO!B228</f>
        <v>CARTÃO-07 | FINAL:XXXX</v>
      </c>
      <c r="C9" s="408"/>
      <c r="D9" s="21">
        <f ca="1">DESCRITIVO!I262</f>
        <v>900</v>
      </c>
      <c r="E9" s="46">
        <f ca="1">DESCRITIVO!L262</f>
        <v>2700</v>
      </c>
      <c r="F9" s="154"/>
      <c r="G9" s="154"/>
      <c r="H9" s="154"/>
      <c r="I9" s="154"/>
      <c r="J9" s="154"/>
      <c r="K9" s="154"/>
      <c r="L9" s="154"/>
      <c r="M9" s="154"/>
    </row>
    <row r="10" spans="1:13" ht="14.25" customHeight="1" x14ac:dyDescent="0.25">
      <c r="A10" s="154"/>
      <c r="B10" s="415" t="s">
        <v>114</v>
      </c>
      <c r="C10" s="416"/>
      <c r="D10" s="40">
        <f t="shared" ref="D10:E10" ca="1" si="0">SUM(D3:D9)</f>
        <v>1300</v>
      </c>
      <c r="E10" s="40">
        <f t="shared" ca="1" si="0"/>
        <v>3500</v>
      </c>
      <c r="F10" s="154"/>
      <c r="G10" s="154"/>
      <c r="H10" s="154"/>
      <c r="I10" s="154"/>
      <c r="J10" s="154"/>
      <c r="K10" s="154"/>
      <c r="L10" s="154"/>
      <c r="M10" s="154"/>
    </row>
    <row r="11" spans="1:13" ht="14.25" customHeight="1" x14ac:dyDescent="0.25">
      <c r="A11" s="154"/>
      <c r="B11" s="417"/>
      <c r="C11" s="418"/>
      <c r="D11" s="414" t="s">
        <v>79</v>
      </c>
      <c r="E11" s="413">
        <f ca="1">E10-D10</f>
        <v>2200</v>
      </c>
      <c r="F11" s="154"/>
      <c r="G11" s="154"/>
      <c r="H11" s="154"/>
      <c r="I11" s="154"/>
      <c r="J11" s="154"/>
      <c r="K11" s="154"/>
      <c r="L11" s="154"/>
      <c r="M11" s="154"/>
    </row>
    <row r="12" spans="1:13" ht="14.25" customHeight="1" x14ac:dyDescent="0.25">
      <c r="A12" s="154"/>
      <c r="B12" s="417"/>
      <c r="C12" s="418"/>
      <c r="D12" s="414"/>
      <c r="E12" s="413"/>
      <c r="F12" s="154"/>
      <c r="G12" s="154"/>
      <c r="H12" s="154"/>
      <c r="I12" s="154"/>
      <c r="J12" s="154"/>
      <c r="K12" s="154"/>
      <c r="L12" s="154"/>
      <c r="M12" s="154"/>
    </row>
    <row r="13" spans="1:13" ht="14.25" customHeight="1" x14ac:dyDescent="0.25">
      <c r="A13" s="154"/>
      <c r="B13" s="417"/>
      <c r="C13" s="418"/>
      <c r="D13" s="154"/>
      <c r="E13" s="39"/>
      <c r="F13" s="39"/>
      <c r="G13" s="154"/>
      <c r="H13" s="154"/>
      <c r="I13" s="154"/>
      <c r="J13" s="154"/>
      <c r="K13" s="154"/>
      <c r="L13" s="154"/>
      <c r="M13" s="154"/>
    </row>
    <row r="14" spans="1:13" ht="14.25" customHeight="1" thickBot="1" x14ac:dyDescent="0.3">
      <c r="A14" s="154"/>
      <c r="B14" s="419"/>
      <c r="C14" s="420"/>
      <c r="D14" s="154"/>
      <c r="E14" s="39"/>
      <c r="F14" s="39"/>
      <c r="G14" s="154"/>
      <c r="H14" s="154"/>
      <c r="I14" s="154"/>
      <c r="J14" s="154"/>
      <c r="K14" s="154"/>
      <c r="L14" s="154"/>
      <c r="M14" s="154"/>
    </row>
    <row r="15" spans="1:13" ht="14.25" customHeight="1" x14ac:dyDescent="0.25">
      <c r="A15" s="154"/>
      <c r="B15" s="154"/>
      <c r="C15" s="154"/>
      <c r="D15" s="154"/>
      <c r="E15" s="39"/>
      <c r="F15" s="39"/>
      <c r="G15" s="154"/>
      <c r="H15" s="154"/>
      <c r="I15" s="154"/>
      <c r="J15" s="154"/>
      <c r="K15" s="154"/>
      <c r="L15" s="154"/>
      <c r="M15" s="154"/>
    </row>
    <row r="16" spans="1:13" ht="14.25" customHeight="1" x14ac:dyDescent="0.25">
      <c r="A16" s="154"/>
      <c r="B16" s="154"/>
      <c r="C16" s="154"/>
      <c r="D16" s="154"/>
      <c r="E16" s="39"/>
      <c r="F16" s="39"/>
      <c r="G16" s="154"/>
      <c r="H16" s="154"/>
      <c r="I16" s="154"/>
      <c r="J16" s="154"/>
      <c r="K16" s="154"/>
      <c r="L16" s="154"/>
      <c r="M16" s="154"/>
    </row>
    <row r="17" spans="1:13" ht="14.25" customHeight="1" x14ac:dyDescent="0.25">
      <c r="A17" s="154"/>
      <c r="B17" s="154"/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</row>
    <row r="18" spans="1:13" ht="14.25" customHeight="1" thickBot="1" x14ac:dyDescent="0.3">
      <c r="A18" s="409" t="s">
        <v>53</v>
      </c>
      <c r="B18" s="410"/>
      <c r="C18" s="209" t="str">
        <f t="shared" ref="C18:C30" si="1">K18</f>
        <v>SOMATÓRIO</v>
      </c>
      <c r="D18" s="50" t="str">
        <f>MID(B3,1,9)</f>
        <v>CARTÃO-01</v>
      </c>
      <c r="E18" s="50" t="str">
        <f>MID(B4,1,9)</f>
        <v>CARTÃO-02</v>
      </c>
      <c r="F18" s="50" t="str">
        <f>MID(B5,1,9)</f>
        <v>CARTÃO-03</v>
      </c>
      <c r="G18" s="50" t="str">
        <f>MID(B6,1,9)</f>
        <v>CARTÃO-04</v>
      </c>
      <c r="H18" s="50" t="str">
        <f>MID(B7,1,9)</f>
        <v>CARTÃO-05</v>
      </c>
      <c r="I18" s="50" t="str">
        <f>MID(B8,1,9)</f>
        <v>CARTÃO-06</v>
      </c>
      <c r="J18" s="51" t="str">
        <f>MID(B9,1,9)</f>
        <v>CARTÃO-07</v>
      </c>
      <c r="K18" s="52" t="s">
        <v>56</v>
      </c>
      <c r="L18" s="411" t="s">
        <v>80</v>
      </c>
      <c r="M18" s="154"/>
    </row>
    <row r="19" spans="1:13" ht="14.25" customHeight="1" x14ac:dyDescent="0.25">
      <c r="A19" s="200">
        <f ca="1">IF(DESCRITIVO!D2=13,1,DESCRITIVO!D2)</f>
        <v>4</v>
      </c>
      <c r="B19" s="201" t="str">
        <f ca="1">C3</f>
        <v>ABRIL</v>
      </c>
      <c r="C19" s="206">
        <f t="shared" ca="1" si="1"/>
        <v>1300</v>
      </c>
      <c r="D19" s="53">
        <f ca="1">D3</f>
        <v>400</v>
      </c>
      <c r="E19" s="53">
        <f ca="1">D4</f>
        <v>0</v>
      </c>
      <c r="F19" s="53">
        <f ca="1">D5</f>
        <v>0</v>
      </c>
      <c r="G19" s="53">
        <f ca="1">D6</f>
        <v>0</v>
      </c>
      <c r="H19" s="53">
        <f ca="1">D7</f>
        <v>0</v>
      </c>
      <c r="I19" s="53">
        <f ca="1">D8</f>
        <v>0</v>
      </c>
      <c r="J19" s="54">
        <f ca="1">D9</f>
        <v>900</v>
      </c>
      <c r="K19" s="55">
        <f t="shared" ref="K19:K30" ca="1" si="2">SUM(D19:J19)</f>
        <v>1300</v>
      </c>
      <c r="L19" s="412"/>
      <c r="M19" s="154"/>
    </row>
    <row r="20" spans="1:13" ht="14.25" customHeight="1" x14ac:dyDescent="0.25">
      <c r="A20" s="202">
        <f t="shared" ref="A20:A30" ca="1" si="3">IF(A19+1&gt;12,1,A19+1)</f>
        <v>5</v>
      </c>
      <c r="B20" s="203" t="str">
        <f t="shared" ref="B20:B30" ca="1" si="4">IF(B19="DEZEMBRO",UPPER(TEXT(DATE(YEAR(TODAY()),1,1),"MMMM")),UPPER(TEXT(DATE(YEAR(TODAY()),A19+1,1),"MMMM")))</f>
        <v>MAIO</v>
      </c>
      <c r="C20" s="207">
        <f t="shared" ca="1" si="1"/>
        <v>1300</v>
      </c>
      <c r="D20" s="56">
        <f ca="1">DESCRITIVO!M45</f>
        <v>400</v>
      </c>
      <c r="E20" s="56">
        <f>DESCRITIVO!M76</f>
        <v>0</v>
      </c>
      <c r="F20" s="56">
        <f>DESCRITIVO!M105</f>
        <v>0</v>
      </c>
      <c r="G20" s="56">
        <f>DESCRITIVO!M151</f>
        <v>0</v>
      </c>
      <c r="H20" s="56">
        <f>DESCRITIVO!M200</f>
        <v>0</v>
      </c>
      <c r="I20" s="56">
        <f>DESCRITIVO!M226</f>
        <v>0</v>
      </c>
      <c r="J20" s="57">
        <f ca="1">DESCRITIVO!M262</f>
        <v>900</v>
      </c>
      <c r="K20" s="58">
        <f t="shared" ca="1" si="2"/>
        <v>1300</v>
      </c>
      <c r="L20" s="59">
        <f t="shared" ref="L20:L30" ca="1" si="5">K19-K20</f>
        <v>0</v>
      </c>
      <c r="M20" s="154"/>
    </row>
    <row r="21" spans="1:13" ht="14.25" customHeight="1" x14ac:dyDescent="0.25">
      <c r="A21" s="202">
        <f t="shared" ca="1" si="3"/>
        <v>6</v>
      </c>
      <c r="B21" s="203" t="str">
        <f t="shared" ca="1" si="4"/>
        <v>JUNHO</v>
      </c>
      <c r="C21" s="207">
        <f t="shared" ca="1" si="1"/>
        <v>1300</v>
      </c>
      <c r="D21" s="56">
        <f ca="1">DESCRITIVO!N45</f>
        <v>400</v>
      </c>
      <c r="E21" s="56">
        <f>DESCRITIVO!N76</f>
        <v>0</v>
      </c>
      <c r="F21" s="56">
        <f>DESCRITIVO!N105</f>
        <v>0</v>
      </c>
      <c r="G21" s="56">
        <f>DESCRITIVO!N151</f>
        <v>0</v>
      </c>
      <c r="H21" s="56">
        <f>DESCRITIVO!N200</f>
        <v>0</v>
      </c>
      <c r="I21" s="56">
        <f>DESCRITIVO!N226</f>
        <v>0</v>
      </c>
      <c r="J21" s="57">
        <f ca="1">DESCRITIVO!N262</f>
        <v>900</v>
      </c>
      <c r="K21" s="58">
        <f t="shared" ca="1" si="2"/>
        <v>1300</v>
      </c>
      <c r="L21" s="59">
        <f t="shared" ca="1" si="5"/>
        <v>0</v>
      </c>
      <c r="M21" s="154"/>
    </row>
    <row r="22" spans="1:13" ht="14.25" customHeight="1" x14ac:dyDescent="0.25">
      <c r="A22" s="202">
        <f t="shared" ca="1" si="3"/>
        <v>7</v>
      </c>
      <c r="B22" s="203" t="str">
        <f t="shared" ca="1" si="4"/>
        <v>JULHO</v>
      </c>
      <c r="C22" s="207">
        <f t="shared" ca="1" si="1"/>
        <v>400</v>
      </c>
      <c r="D22" s="56">
        <f ca="1">DESCRITIVO!O45</f>
        <v>400</v>
      </c>
      <c r="E22" s="56">
        <f>DESCRITIVO!O76</f>
        <v>0</v>
      </c>
      <c r="F22" s="56">
        <f>DESCRITIVO!O105</f>
        <v>0</v>
      </c>
      <c r="G22" s="56">
        <f>DESCRITIVO!O151</f>
        <v>0</v>
      </c>
      <c r="H22" s="56">
        <f>DESCRITIVO!O200</f>
        <v>0</v>
      </c>
      <c r="I22" s="56">
        <f>DESCRITIVO!O226</f>
        <v>0</v>
      </c>
      <c r="J22" s="57">
        <f ca="1">DESCRITIVO!O262</f>
        <v>0</v>
      </c>
      <c r="K22" s="58">
        <f t="shared" ca="1" si="2"/>
        <v>400</v>
      </c>
      <c r="L22" s="59">
        <f t="shared" ca="1" si="5"/>
        <v>900</v>
      </c>
      <c r="M22" s="154"/>
    </row>
    <row r="23" spans="1:13" ht="14.25" customHeight="1" x14ac:dyDescent="0.25">
      <c r="A23" s="202">
        <f t="shared" ca="1" si="3"/>
        <v>8</v>
      </c>
      <c r="B23" s="203" t="str">
        <f t="shared" ca="1" si="4"/>
        <v>AGOSTO</v>
      </c>
      <c r="C23" s="207">
        <f t="shared" ca="1" si="1"/>
        <v>400</v>
      </c>
      <c r="D23" s="56">
        <f ca="1">DESCRITIVO!P45</f>
        <v>400</v>
      </c>
      <c r="E23" s="56">
        <f>DESCRITIVO!P76</f>
        <v>0</v>
      </c>
      <c r="F23" s="56">
        <f>DESCRITIVO!P105</f>
        <v>0</v>
      </c>
      <c r="G23" s="56">
        <f>DESCRITIVO!P151</f>
        <v>0</v>
      </c>
      <c r="H23" s="56">
        <f>DESCRITIVO!P200</f>
        <v>0</v>
      </c>
      <c r="I23" s="56">
        <f>DESCRITIVO!P226</f>
        <v>0</v>
      </c>
      <c r="J23" s="57">
        <f ca="1">DESCRITIVO!P262</f>
        <v>0</v>
      </c>
      <c r="K23" s="58">
        <f t="shared" ca="1" si="2"/>
        <v>400</v>
      </c>
      <c r="L23" s="59">
        <f t="shared" ca="1" si="5"/>
        <v>0</v>
      </c>
      <c r="M23" s="154"/>
    </row>
    <row r="24" spans="1:13" ht="14.25" customHeight="1" x14ac:dyDescent="0.25">
      <c r="A24" s="202">
        <f t="shared" ca="1" si="3"/>
        <v>9</v>
      </c>
      <c r="B24" s="203" t="str">
        <f t="shared" ca="1" si="4"/>
        <v>SETEMBRO</v>
      </c>
      <c r="C24" s="207">
        <f t="shared" ca="1" si="1"/>
        <v>400</v>
      </c>
      <c r="D24" s="56">
        <f ca="1">DESCRITIVO!Q45</f>
        <v>400</v>
      </c>
      <c r="E24" s="56">
        <f>DESCRITIVO!Q76</f>
        <v>0</v>
      </c>
      <c r="F24" s="56">
        <f>DESCRITIVO!Q105</f>
        <v>0</v>
      </c>
      <c r="G24" s="56">
        <f>DESCRITIVO!Q151</f>
        <v>0</v>
      </c>
      <c r="H24" s="56">
        <f>DESCRITIVO!Q200</f>
        <v>0</v>
      </c>
      <c r="I24" s="56">
        <f>DESCRITIVO!Q226</f>
        <v>0</v>
      </c>
      <c r="J24" s="57">
        <f ca="1">DESCRITIVO!Q262</f>
        <v>0</v>
      </c>
      <c r="K24" s="58">
        <f t="shared" ca="1" si="2"/>
        <v>400</v>
      </c>
      <c r="L24" s="59">
        <f t="shared" ca="1" si="5"/>
        <v>0</v>
      </c>
      <c r="M24" s="154"/>
    </row>
    <row r="25" spans="1:13" ht="14.25" customHeight="1" x14ac:dyDescent="0.25">
      <c r="A25" s="202">
        <f t="shared" ca="1" si="3"/>
        <v>10</v>
      </c>
      <c r="B25" s="203" t="str">
        <f t="shared" ca="1" si="4"/>
        <v>OUTUBRO</v>
      </c>
      <c r="C25" s="207">
        <f t="shared" ca="1" si="1"/>
        <v>400</v>
      </c>
      <c r="D25" s="56">
        <f ca="1">DESCRITIVO!R45</f>
        <v>400</v>
      </c>
      <c r="E25" s="56">
        <f>DESCRITIVO!R76</f>
        <v>0</v>
      </c>
      <c r="F25" s="56">
        <f>DESCRITIVO!R105</f>
        <v>0</v>
      </c>
      <c r="G25" s="56">
        <f>DESCRITIVO!R151</f>
        <v>0</v>
      </c>
      <c r="H25" s="56">
        <f>DESCRITIVO!R200</f>
        <v>0</v>
      </c>
      <c r="I25" s="56">
        <f>DESCRITIVO!R226</f>
        <v>0</v>
      </c>
      <c r="J25" s="57">
        <f ca="1">DESCRITIVO!R262</f>
        <v>0</v>
      </c>
      <c r="K25" s="58">
        <f t="shared" ca="1" si="2"/>
        <v>400</v>
      </c>
      <c r="L25" s="59">
        <f t="shared" ca="1" si="5"/>
        <v>0</v>
      </c>
      <c r="M25" s="154"/>
    </row>
    <row r="26" spans="1:13" ht="14.25" customHeight="1" x14ac:dyDescent="0.25">
      <c r="A26" s="202">
        <f t="shared" ca="1" si="3"/>
        <v>11</v>
      </c>
      <c r="B26" s="203" t="str">
        <f t="shared" ca="1" si="4"/>
        <v>NOVEMBRO</v>
      </c>
      <c r="C26" s="207">
        <f t="shared" ca="1" si="1"/>
        <v>400</v>
      </c>
      <c r="D26" s="56">
        <f ca="1">DESCRITIVO!S45</f>
        <v>400</v>
      </c>
      <c r="E26" s="56">
        <f>DESCRITIVO!S76</f>
        <v>0</v>
      </c>
      <c r="F26" s="56">
        <f>DESCRITIVO!S105</f>
        <v>0</v>
      </c>
      <c r="G26" s="56">
        <f>DESCRITIVO!S151</f>
        <v>0</v>
      </c>
      <c r="H26" s="56">
        <f>DESCRITIVO!S200</f>
        <v>0</v>
      </c>
      <c r="I26" s="56">
        <f>DESCRITIVO!S226</f>
        <v>0</v>
      </c>
      <c r="J26" s="57">
        <f ca="1">DESCRITIVO!S262</f>
        <v>0</v>
      </c>
      <c r="K26" s="58">
        <f t="shared" ca="1" si="2"/>
        <v>400</v>
      </c>
      <c r="L26" s="59">
        <f t="shared" ca="1" si="5"/>
        <v>0</v>
      </c>
      <c r="M26" s="154"/>
    </row>
    <row r="27" spans="1:13" ht="14.25" customHeight="1" x14ac:dyDescent="0.25">
      <c r="A27" s="202">
        <f t="shared" ca="1" si="3"/>
        <v>12</v>
      </c>
      <c r="B27" s="203" t="str">
        <f t="shared" ca="1" si="4"/>
        <v>DEZEMBRO</v>
      </c>
      <c r="C27" s="207">
        <f t="shared" ca="1" si="1"/>
        <v>489</v>
      </c>
      <c r="D27" s="56">
        <f ca="1">DESCRITIVO!T45</f>
        <v>489</v>
      </c>
      <c r="E27" s="56">
        <f>DESCRITIVO!T76</f>
        <v>0</v>
      </c>
      <c r="F27" s="56">
        <f>DESCRITIVO!T105</f>
        <v>0</v>
      </c>
      <c r="G27" s="56">
        <f>DESCRITIVO!T151</f>
        <v>0</v>
      </c>
      <c r="H27" s="56">
        <f>DESCRITIVO!T200</f>
        <v>0</v>
      </c>
      <c r="I27" s="56">
        <f>DESCRITIVO!T226</f>
        <v>0</v>
      </c>
      <c r="J27" s="57">
        <f ca="1">DESCRITIVO!T262</f>
        <v>0</v>
      </c>
      <c r="K27" s="58">
        <f t="shared" ca="1" si="2"/>
        <v>489</v>
      </c>
      <c r="L27" s="59">
        <f t="shared" ca="1" si="5"/>
        <v>-89</v>
      </c>
      <c r="M27" s="154"/>
    </row>
    <row r="28" spans="1:13" ht="14.25" customHeight="1" x14ac:dyDescent="0.25">
      <c r="A28" s="202">
        <f t="shared" ca="1" si="3"/>
        <v>1</v>
      </c>
      <c r="B28" s="203" t="str">
        <f t="shared" ca="1" si="4"/>
        <v>JANEIRO</v>
      </c>
      <c r="C28" s="207">
        <f t="shared" ca="1" si="1"/>
        <v>400</v>
      </c>
      <c r="D28" s="56">
        <f ca="1">DESCRITIVO!U45</f>
        <v>400</v>
      </c>
      <c r="E28" s="56">
        <f>DESCRITIVO!U76</f>
        <v>0</v>
      </c>
      <c r="F28" s="56">
        <f>DESCRITIVO!U105</f>
        <v>0</v>
      </c>
      <c r="G28" s="56">
        <f>DESCRITIVO!U151</f>
        <v>0</v>
      </c>
      <c r="H28" s="56">
        <f>DESCRITIVO!U200</f>
        <v>0</v>
      </c>
      <c r="I28" s="56">
        <f>DESCRITIVO!U226</f>
        <v>0</v>
      </c>
      <c r="J28" s="57">
        <f ca="1">DESCRITIVO!U262</f>
        <v>0</v>
      </c>
      <c r="K28" s="58">
        <f t="shared" ca="1" si="2"/>
        <v>400</v>
      </c>
      <c r="L28" s="59">
        <f t="shared" ca="1" si="5"/>
        <v>89</v>
      </c>
      <c r="M28" s="154"/>
    </row>
    <row r="29" spans="1:13" ht="14.25" customHeight="1" x14ac:dyDescent="0.25">
      <c r="A29" s="202">
        <f t="shared" ca="1" si="3"/>
        <v>2</v>
      </c>
      <c r="B29" s="203" t="str">
        <f t="shared" ca="1" si="4"/>
        <v>FEVEREIRO</v>
      </c>
      <c r="C29" s="207">
        <f t="shared" ca="1" si="1"/>
        <v>400</v>
      </c>
      <c r="D29" s="56">
        <f ca="1">DESCRITIVO!V45</f>
        <v>400</v>
      </c>
      <c r="E29" s="56">
        <f>DESCRITIVO!V76</f>
        <v>0</v>
      </c>
      <c r="F29" s="56">
        <f>DESCRITIVO!V105</f>
        <v>0</v>
      </c>
      <c r="G29" s="56">
        <f>DESCRITIVO!V151</f>
        <v>0</v>
      </c>
      <c r="H29" s="56">
        <f>DESCRITIVO!V200</f>
        <v>0</v>
      </c>
      <c r="I29" s="56">
        <f>DESCRITIVO!V226</f>
        <v>0</v>
      </c>
      <c r="J29" s="57">
        <f ca="1">DESCRITIVO!V262</f>
        <v>0</v>
      </c>
      <c r="K29" s="58">
        <f t="shared" ca="1" si="2"/>
        <v>400</v>
      </c>
      <c r="L29" s="59">
        <f t="shared" ca="1" si="5"/>
        <v>0</v>
      </c>
      <c r="M29" s="154"/>
    </row>
    <row r="30" spans="1:13" ht="14.25" customHeight="1" thickBot="1" x14ac:dyDescent="0.3">
      <c r="A30" s="204">
        <f t="shared" ca="1" si="3"/>
        <v>3</v>
      </c>
      <c r="B30" s="205" t="str">
        <f t="shared" ca="1" si="4"/>
        <v>MARÇO</v>
      </c>
      <c r="C30" s="208">
        <f t="shared" ca="1" si="1"/>
        <v>400</v>
      </c>
      <c r="D30" s="60">
        <f ca="1">DESCRITIVO!W45</f>
        <v>400</v>
      </c>
      <c r="E30" s="60">
        <f>DESCRITIVO!W76</f>
        <v>0</v>
      </c>
      <c r="F30" s="60">
        <f>DESCRITIVO!W105</f>
        <v>0</v>
      </c>
      <c r="G30" s="60">
        <f>DESCRITIVO!W151</f>
        <v>0</v>
      </c>
      <c r="H30" s="60">
        <f>DESCRITIVO!W200</f>
        <v>0</v>
      </c>
      <c r="I30" s="60">
        <f>DESCRITIVO!W226</f>
        <v>0</v>
      </c>
      <c r="J30" s="61">
        <f ca="1">DESCRITIVO!W262</f>
        <v>0</v>
      </c>
      <c r="K30" s="62">
        <f t="shared" ca="1" si="2"/>
        <v>400</v>
      </c>
      <c r="L30" s="63">
        <f t="shared" ca="1" si="5"/>
        <v>0</v>
      </c>
      <c r="M30" s="154"/>
    </row>
    <row r="31" spans="1:13" ht="14.25" customHeight="1" x14ac:dyDescent="0.25">
      <c r="A31" s="154"/>
      <c r="B31" s="154"/>
      <c r="C31" s="154"/>
      <c r="D31" s="154"/>
      <c r="E31" s="154"/>
      <c r="F31" s="154"/>
      <c r="G31" s="154"/>
      <c r="H31" s="154"/>
      <c r="I31" s="154"/>
      <c r="J31" s="154"/>
      <c r="K31" s="154"/>
      <c r="L31" s="154"/>
      <c r="M31" s="154"/>
    </row>
    <row r="32" spans="1:13" ht="14.25" customHeight="1" x14ac:dyDescent="0.25">
      <c r="A32" s="154"/>
      <c r="B32" s="154"/>
      <c r="C32" s="154"/>
      <c r="D32" s="154"/>
      <c r="E32" s="154"/>
      <c r="F32" s="154"/>
      <c r="G32" s="154"/>
      <c r="H32" s="154"/>
      <c r="I32" s="154"/>
      <c r="J32" s="154"/>
      <c r="K32" s="154"/>
      <c r="L32" s="154"/>
      <c r="M32" s="154"/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hJXN+B+pDooqYdm3K8Ts32lcu8YYuHfM5eKUUB8EPWFph70VBKmtolO1kRPJvk4FC4o9ScSOsnTpSVV9XRGeMQ==" saltValue="oR9EKSLNL+4J73d3GLbwqg==" spinCount="100000" sheet="1" objects="1" scenarios="1" selectLockedCells="1"/>
  <mergeCells count="6">
    <mergeCell ref="C3:C9"/>
    <mergeCell ref="A18:B18"/>
    <mergeCell ref="L18:L19"/>
    <mergeCell ref="E11:E12"/>
    <mergeCell ref="D11:D12"/>
    <mergeCell ref="B10:C14"/>
  </mergeCells>
  <pageMargins left="0.511811024" right="0.511811024" top="0.78740157499999996" bottom="0.78740157499999996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Z1003"/>
  <sheetViews>
    <sheetView zoomScaleNormal="100" workbookViewId="0">
      <selection activeCell="D23" sqref="D23"/>
    </sheetView>
  </sheetViews>
  <sheetFormatPr defaultColWidth="14.42578125" defaultRowHeight="15" customHeight="1" x14ac:dyDescent="0.25"/>
  <cols>
    <col min="1" max="1" width="21.28515625" bestFit="1" customWidth="1"/>
    <col min="2" max="2" width="34.140625" bestFit="1" customWidth="1"/>
    <col min="3" max="3" width="11.5703125" customWidth="1"/>
    <col min="4" max="4" width="26.140625" customWidth="1"/>
    <col min="5" max="5" width="30.85546875" bestFit="1" customWidth="1"/>
    <col min="6" max="6" width="15.7109375" bestFit="1" customWidth="1"/>
    <col min="7" max="7" width="16.42578125" bestFit="1" customWidth="1"/>
    <col min="8" max="8" width="13.140625" customWidth="1"/>
    <col min="9" max="9" width="13.140625" style="154" customWidth="1"/>
    <col min="10" max="10" width="18.85546875" customWidth="1"/>
    <col min="11" max="11" width="37.42578125" customWidth="1"/>
    <col min="12" max="12" width="8.7109375" customWidth="1"/>
  </cols>
  <sheetData>
    <row r="1" spans="1:26" ht="14.25" customHeight="1" x14ac:dyDescent="0.25">
      <c r="A1" s="16">
        <f ca="1">TODAY()</f>
        <v>44644</v>
      </c>
      <c r="B1" s="423" t="s">
        <v>45</v>
      </c>
      <c r="C1" s="424"/>
      <c r="D1" s="41" t="s">
        <v>46</v>
      </c>
      <c r="F1" s="425" t="s">
        <v>168</v>
      </c>
      <c r="G1" s="429" t="s">
        <v>63</v>
      </c>
      <c r="H1" s="430"/>
      <c r="I1" s="82">
        <f>SUM(C8:C9)</f>
        <v>3500</v>
      </c>
      <c r="K1" s="77"/>
    </row>
    <row r="2" spans="1:26" ht="14.25" customHeight="1" thickBot="1" x14ac:dyDescent="0.3">
      <c r="B2" s="166" t="s">
        <v>47</v>
      </c>
      <c r="C2" s="165" t="s">
        <v>6</v>
      </c>
      <c r="D2" s="6"/>
      <c r="F2" s="426"/>
      <c r="G2" s="153" t="s">
        <v>47</v>
      </c>
      <c r="H2" s="153" t="s">
        <v>140</v>
      </c>
      <c r="I2" s="153" t="s">
        <v>6</v>
      </c>
    </row>
    <row r="3" spans="1:26" ht="14.25" customHeight="1" x14ac:dyDescent="0.25">
      <c r="B3" s="447" t="s">
        <v>48</v>
      </c>
      <c r="C3" s="448">
        <f ca="1">IF(D2="x",0,D3)</f>
        <v>1300</v>
      </c>
      <c r="D3" s="7">
        <f ca="1">DESCRITIVO!I264</f>
        <v>1300</v>
      </c>
      <c r="F3" s="426"/>
      <c r="G3" s="165" t="s">
        <v>62</v>
      </c>
      <c r="H3" s="460">
        <v>0.7</v>
      </c>
      <c r="I3" s="78">
        <f>$I$1*H3</f>
        <v>2450</v>
      </c>
      <c r="J3" s="175"/>
    </row>
    <row r="4" spans="1:26" ht="14.25" customHeight="1" x14ac:dyDescent="0.25">
      <c r="B4" s="447" t="s">
        <v>24</v>
      </c>
      <c r="C4" s="448">
        <f>DESCRITIVO!G282</f>
        <v>3350</v>
      </c>
      <c r="F4" s="426"/>
      <c r="G4" s="165" t="s">
        <v>64</v>
      </c>
      <c r="H4" s="460">
        <v>0.1</v>
      </c>
      <c r="I4" s="78">
        <f t="shared" ref="I4:I7" si="0">$I$1*H4</f>
        <v>350</v>
      </c>
      <c r="J4" s="176"/>
    </row>
    <row r="5" spans="1:26" ht="14.25" customHeight="1" x14ac:dyDescent="0.25">
      <c r="A5" s="5"/>
      <c r="B5" s="449" t="s">
        <v>138</v>
      </c>
      <c r="C5" s="450"/>
      <c r="D5" s="5"/>
      <c r="E5" s="5"/>
      <c r="F5" s="426"/>
      <c r="G5" s="165" t="s">
        <v>65</v>
      </c>
      <c r="H5" s="460">
        <v>0.1</v>
      </c>
      <c r="I5" s="78">
        <f t="shared" si="0"/>
        <v>350</v>
      </c>
      <c r="J5" s="176"/>
      <c r="K5" s="5"/>
      <c r="L5" s="5"/>
    </row>
    <row r="6" spans="1:26" ht="14.25" customHeight="1" x14ac:dyDescent="0.25">
      <c r="B6" s="449" t="s">
        <v>139</v>
      </c>
      <c r="C6" s="450"/>
      <c r="F6" s="426"/>
      <c r="G6" s="165" t="s">
        <v>66</v>
      </c>
      <c r="H6" s="460">
        <v>0.05</v>
      </c>
      <c r="I6" s="78">
        <f t="shared" si="0"/>
        <v>175</v>
      </c>
      <c r="J6" s="176"/>
    </row>
    <row r="7" spans="1:26" ht="14.25" customHeight="1" thickBot="1" x14ac:dyDescent="0.3">
      <c r="B7" s="198" t="s">
        <v>49</v>
      </c>
      <c r="C7" s="199">
        <f ca="1">SUM(C3:C6)</f>
        <v>4650</v>
      </c>
      <c r="D7" s="7"/>
      <c r="E7" s="77"/>
      <c r="F7" s="427"/>
      <c r="G7" s="165" t="s">
        <v>67</v>
      </c>
      <c r="H7" s="460">
        <v>0.05</v>
      </c>
      <c r="I7" s="78">
        <f t="shared" si="0"/>
        <v>175</v>
      </c>
      <c r="J7" s="174"/>
    </row>
    <row r="8" spans="1:26" ht="14.25" customHeight="1" thickBot="1" x14ac:dyDescent="0.3">
      <c r="B8" s="451" t="s">
        <v>115</v>
      </c>
      <c r="C8" s="452">
        <v>2000</v>
      </c>
      <c r="D8" s="7"/>
      <c r="E8" s="7"/>
      <c r="F8" s="427"/>
      <c r="G8" s="154"/>
      <c r="H8" s="154"/>
      <c r="J8" s="154"/>
    </row>
    <row r="9" spans="1:26" ht="14.25" customHeight="1" x14ac:dyDescent="0.25">
      <c r="A9" s="5"/>
      <c r="B9" s="449" t="s">
        <v>116</v>
      </c>
      <c r="C9" s="453">
        <v>1500</v>
      </c>
      <c r="D9" s="7"/>
      <c r="E9" s="7"/>
      <c r="F9" s="427"/>
      <c r="G9" s="116" t="s">
        <v>69</v>
      </c>
      <c r="H9" s="117">
        <f ca="1">C7</f>
        <v>4650</v>
      </c>
      <c r="I9" s="171"/>
      <c r="J9" s="154"/>
      <c r="K9" s="5"/>
      <c r="L9" s="5"/>
    </row>
    <row r="10" spans="1:26" ht="14.25" customHeight="1" x14ac:dyDescent="0.25">
      <c r="A10" s="5"/>
      <c r="B10" s="449" t="s">
        <v>117</v>
      </c>
      <c r="C10" s="453"/>
      <c r="D10" s="7"/>
      <c r="E10" s="7"/>
      <c r="F10" s="427"/>
      <c r="G10" s="118" t="s">
        <v>24</v>
      </c>
      <c r="H10" s="119">
        <f>C4</f>
        <v>3350</v>
      </c>
      <c r="I10" s="172"/>
      <c r="J10" s="5"/>
      <c r="K10" s="5"/>
      <c r="L10" s="5"/>
    </row>
    <row r="11" spans="1:26" ht="14.25" customHeight="1" x14ac:dyDescent="0.25">
      <c r="B11" s="449" t="s">
        <v>118</v>
      </c>
      <c r="C11" s="450"/>
      <c r="D11" s="154"/>
      <c r="F11" s="427"/>
      <c r="G11" s="118" t="s">
        <v>48</v>
      </c>
      <c r="H11" s="120">
        <f ca="1">C3</f>
        <v>1300</v>
      </c>
      <c r="I11" s="173"/>
      <c r="J11" s="5"/>
    </row>
    <row r="12" spans="1:26" ht="14.25" customHeight="1" x14ac:dyDescent="0.25">
      <c r="A12" s="5"/>
      <c r="B12" s="449" t="s">
        <v>119</v>
      </c>
      <c r="C12" s="453"/>
      <c r="D12" s="5"/>
      <c r="E12" s="5"/>
      <c r="F12" s="427"/>
      <c r="G12" s="118" t="s">
        <v>70</v>
      </c>
      <c r="H12" s="119">
        <f>C18-I1-H13</f>
        <v>0</v>
      </c>
      <c r="I12" s="172"/>
      <c r="J12" s="154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4.25" customHeight="1" thickBot="1" x14ac:dyDescent="0.3">
      <c r="B13" s="449" t="s">
        <v>120</v>
      </c>
      <c r="C13" s="450"/>
      <c r="D13" s="154"/>
      <c r="F13" s="427"/>
      <c r="G13" s="121" t="s">
        <v>50</v>
      </c>
      <c r="H13" s="122">
        <f>C16</f>
        <v>100</v>
      </c>
      <c r="I13" s="173"/>
      <c r="J13" s="5"/>
    </row>
    <row r="14" spans="1:26" s="96" customFormat="1" ht="14.25" customHeight="1" x14ac:dyDescent="0.25">
      <c r="B14" s="449" t="s">
        <v>121</v>
      </c>
      <c r="C14" s="453"/>
      <c r="D14" s="154"/>
      <c r="F14" s="427"/>
      <c r="I14" s="154"/>
    </row>
    <row r="15" spans="1:26" ht="14.25" customHeight="1" x14ac:dyDescent="0.25">
      <c r="A15" s="5"/>
      <c r="B15" s="454"/>
      <c r="C15" s="450"/>
      <c r="D15" s="5"/>
      <c r="E15" s="5"/>
      <c r="F15" s="427"/>
      <c r="G15" s="5"/>
      <c r="H15" s="5"/>
      <c r="I15" s="5"/>
      <c r="J15" s="5"/>
      <c r="K15" s="5"/>
      <c r="L15" s="5"/>
    </row>
    <row r="16" spans="1:26" ht="14.25" customHeight="1" x14ac:dyDescent="0.25">
      <c r="A16" s="5"/>
      <c r="B16" s="449" t="s">
        <v>141</v>
      </c>
      <c r="C16" s="450">
        <v>100</v>
      </c>
      <c r="D16" s="5"/>
      <c r="E16" s="5"/>
      <c r="F16" s="427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4.25" customHeight="1" x14ac:dyDescent="0.25">
      <c r="A17" s="154"/>
      <c r="B17" s="454"/>
      <c r="C17" s="450"/>
      <c r="E17" s="7"/>
      <c r="F17" s="427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4.25" customHeight="1" x14ac:dyDescent="0.25">
      <c r="B18" s="169" t="s">
        <v>51</v>
      </c>
      <c r="C18" s="167">
        <f>SUM(C8:C17)</f>
        <v>3600</v>
      </c>
      <c r="E18" s="5"/>
      <c r="F18" s="427"/>
    </row>
    <row r="19" spans="1:26" ht="14.25" customHeight="1" thickBot="1" x14ac:dyDescent="0.3">
      <c r="B19" s="170" t="s">
        <v>52</v>
      </c>
      <c r="C19" s="168">
        <f ca="1">C18-C7-C23</f>
        <v>-1050</v>
      </c>
      <c r="D19" s="7"/>
      <c r="E19" s="7"/>
      <c r="F19" s="428"/>
    </row>
    <row r="20" spans="1:26" ht="14.25" customHeight="1" x14ac:dyDescent="0.25">
      <c r="F20" s="5"/>
    </row>
    <row r="21" spans="1:26" ht="14.25" customHeight="1" thickBot="1" x14ac:dyDescent="0.3">
      <c r="B21" s="43"/>
      <c r="C21" s="42"/>
      <c r="F21" s="5"/>
    </row>
    <row r="22" spans="1:26" ht="14.25" customHeight="1" thickBot="1" x14ac:dyDescent="0.3">
      <c r="B22" s="96"/>
      <c r="C22" s="7"/>
      <c r="D22" s="421" t="s">
        <v>81</v>
      </c>
      <c r="E22" s="422"/>
      <c r="F22" s="5"/>
    </row>
    <row r="23" spans="1:26" ht="14.25" customHeight="1" x14ac:dyDescent="0.25">
      <c r="B23" s="108" t="s">
        <v>74</v>
      </c>
      <c r="C23" s="99">
        <f>SUM(D23:D42)</f>
        <v>0</v>
      </c>
      <c r="D23" s="455"/>
      <c r="E23" s="456" t="s">
        <v>122</v>
      </c>
      <c r="F23" s="5"/>
      <c r="G23" s="154"/>
    </row>
    <row r="24" spans="1:26" ht="14.25" customHeight="1" x14ac:dyDescent="0.25">
      <c r="B24" s="96"/>
      <c r="C24" s="7"/>
      <c r="D24" s="457"/>
      <c r="E24" s="458" t="s">
        <v>123</v>
      </c>
      <c r="F24" s="5"/>
      <c r="G24" s="154"/>
    </row>
    <row r="25" spans="1:26" ht="14.25" customHeight="1" x14ac:dyDescent="0.25">
      <c r="C25" s="7"/>
      <c r="D25" s="457"/>
      <c r="E25" s="458" t="s">
        <v>124</v>
      </c>
      <c r="F25" s="5"/>
      <c r="G25" s="154"/>
    </row>
    <row r="26" spans="1:26" ht="14.25" customHeight="1" x14ac:dyDescent="0.25">
      <c r="D26" s="457"/>
      <c r="E26" s="458" t="s">
        <v>125</v>
      </c>
      <c r="F26" s="5"/>
      <c r="G26" s="127"/>
    </row>
    <row r="27" spans="1:26" ht="14.25" customHeight="1" x14ac:dyDescent="0.25">
      <c r="B27" s="154"/>
      <c r="C27" s="154"/>
      <c r="D27" s="457"/>
      <c r="E27" s="458" t="s">
        <v>126</v>
      </c>
      <c r="F27" s="5"/>
    </row>
    <row r="28" spans="1:26" ht="14.25" customHeight="1" x14ac:dyDescent="0.25">
      <c r="B28" s="154"/>
      <c r="C28" s="154"/>
      <c r="D28" s="457"/>
      <c r="E28" s="458" t="s">
        <v>127</v>
      </c>
      <c r="F28" s="5"/>
    </row>
    <row r="29" spans="1:26" ht="14.25" customHeight="1" x14ac:dyDescent="0.25">
      <c r="B29" s="154"/>
      <c r="C29" s="154"/>
      <c r="D29" s="457"/>
      <c r="E29" s="458" t="s">
        <v>128</v>
      </c>
      <c r="F29" s="5"/>
      <c r="G29" s="127"/>
    </row>
    <row r="30" spans="1:26" ht="14.25" customHeight="1" x14ac:dyDescent="0.25">
      <c r="B30" s="154"/>
      <c r="C30" s="154"/>
      <c r="D30" s="457"/>
      <c r="E30" s="458" t="s">
        <v>129</v>
      </c>
      <c r="F30" s="5"/>
      <c r="G30" s="154"/>
      <c r="H30" s="154"/>
      <c r="J30" s="154"/>
    </row>
    <row r="31" spans="1:26" ht="14.25" customHeight="1" x14ac:dyDescent="0.25">
      <c r="B31" s="154"/>
      <c r="C31" s="154"/>
      <c r="D31" s="457"/>
      <c r="E31" s="458" t="s">
        <v>130</v>
      </c>
      <c r="F31" s="5"/>
    </row>
    <row r="32" spans="1:26" ht="14.25" customHeight="1" x14ac:dyDescent="0.25">
      <c r="B32" s="154"/>
      <c r="C32" s="154"/>
      <c r="D32" s="457"/>
      <c r="E32" s="458" t="s">
        <v>133</v>
      </c>
      <c r="F32" s="5"/>
    </row>
    <row r="33" spans="2:9" ht="14.25" customHeight="1" x14ac:dyDescent="0.25">
      <c r="B33" s="154"/>
      <c r="C33" s="154"/>
      <c r="D33" s="457"/>
      <c r="E33" s="458" t="s">
        <v>83</v>
      </c>
      <c r="F33" s="5"/>
    </row>
    <row r="34" spans="2:9" ht="14.25" customHeight="1" x14ac:dyDescent="0.25">
      <c r="B34" s="154"/>
      <c r="C34" s="154"/>
      <c r="D34" s="459"/>
      <c r="E34" s="458" t="s">
        <v>134</v>
      </c>
      <c r="F34" s="5"/>
    </row>
    <row r="35" spans="2:9" ht="14.25" customHeight="1" x14ac:dyDescent="0.25">
      <c r="B35" s="154"/>
      <c r="C35" s="154"/>
      <c r="D35" s="457"/>
      <c r="E35" s="458" t="s">
        <v>131</v>
      </c>
      <c r="F35" s="5"/>
    </row>
    <row r="36" spans="2:9" ht="14.25" customHeight="1" x14ac:dyDescent="0.25">
      <c r="B36" s="154"/>
      <c r="C36" s="154"/>
      <c r="D36" s="457"/>
      <c r="E36" s="458" t="s">
        <v>135</v>
      </c>
      <c r="F36" s="5"/>
    </row>
    <row r="37" spans="2:9" ht="14.25" customHeight="1" x14ac:dyDescent="0.25">
      <c r="D37" s="457"/>
      <c r="E37" s="458" t="s">
        <v>132</v>
      </c>
      <c r="F37" s="5"/>
    </row>
    <row r="38" spans="2:9" s="135" customFormat="1" ht="14.25" customHeight="1" x14ac:dyDescent="0.25">
      <c r="D38" s="457"/>
      <c r="E38" s="458" t="s">
        <v>136</v>
      </c>
      <c r="F38" s="5"/>
      <c r="I38" s="154"/>
    </row>
    <row r="39" spans="2:9" ht="14.25" customHeight="1" x14ac:dyDescent="0.25">
      <c r="D39" s="457"/>
      <c r="E39" s="458" t="s">
        <v>84</v>
      </c>
      <c r="F39" s="5"/>
    </row>
    <row r="40" spans="2:9" s="135" customFormat="1" ht="14.25" customHeight="1" x14ac:dyDescent="0.25">
      <c r="D40" s="457"/>
      <c r="E40" s="458" t="s">
        <v>137</v>
      </c>
      <c r="F40" s="5"/>
      <c r="I40" s="154"/>
    </row>
    <row r="41" spans="2:9" ht="14.25" customHeight="1" x14ac:dyDescent="0.25">
      <c r="D41" s="457"/>
      <c r="E41" s="458" t="s">
        <v>83</v>
      </c>
      <c r="F41" s="5"/>
    </row>
    <row r="42" spans="2:9" ht="14.25" customHeight="1" x14ac:dyDescent="0.25">
      <c r="D42" s="457"/>
      <c r="E42" s="458" t="s">
        <v>153</v>
      </c>
      <c r="F42" s="5"/>
    </row>
    <row r="43" spans="2:9" ht="14.25" customHeight="1" x14ac:dyDescent="0.25">
      <c r="F43" s="5"/>
    </row>
    <row r="44" spans="2:9" ht="14.25" customHeight="1" x14ac:dyDescent="0.25">
      <c r="F44" s="5"/>
    </row>
    <row r="45" spans="2:9" ht="14.25" customHeight="1" x14ac:dyDescent="0.25">
      <c r="F45" s="5"/>
    </row>
    <row r="46" spans="2:9" ht="14.25" customHeight="1" x14ac:dyDescent="0.25">
      <c r="F46" s="5"/>
    </row>
    <row r="47" spans="2:9" ht="14.25" customHeight="1" x14ac:dyDescent="0.25">
      <c r="F47" s="5"/>
    </row>
    <row r="48" spans="2:9" ht="14.25" customHeight="1" x14ac:dyDescent="0.25">
      <c r="F48" s="5"/>
    </row>
    <row r="49" spans="6:6" ht="14.25" customHeight="1" x14ac:dyDescent="0.25">
      <c r="F49" s="5"/>
    </row>
    <row r="50" spans="6:6" ht="14.25" customHeight="1" x14ac:dyDescent="0.25">
      <c r="F50" s="5"/>
    </row>
    <row r="51" spans="6:6" ht="14.25" customHeight="1" x14ac:dyDescent="0.25">
      <c r="F51" s="5"/>
    </row>
    <row r="52" spans="6:6" ht="14.25" customHeight="1" x14ac:dyDescent="0.25">
      <c r="F52" s="5"/>
    </row>
    <row r="53" spans="6:6" ht="14.25" customHeight="1" x14ac:dyDescent="0.25">
      <c r="F53" s="5"/>
    </row>
    <row r="54" spans="6:6" ht="14.25" customHeight="1" x14ac:dyDescent="0.25">
      <c r="F54" s="5"/>
    </row>
    <row r="55" spans="6:6" ht="14.25" customHeight="1" x14ac:dyDescent="0.25">
      <c r="F55" s="5"/>
    </row>
    <row r="56" spans="6:6" ht="14.25" customHeight="1" x14ac:dyDescent="0.25">
      <c r="F56" s="5"/>
    </row>
    <row r="57" spans="6:6" ht="14.25" customHeight="1" x14ac:dyDescent="0.25">
      <c r="F57" s="5"/>
    </row>
    <row r="58" spans="6:6" ht="14.25" customHeight="1" x14ac:dyDescent="0.25">
      <c r="F58" s="5"/>
    </row>
    <row r="59" spans="6:6" ht="14.25" customHeight="1" x14ac:dyDescent="0.25">
      <c r="F59" s="5"/>
    </row>
    <row r="60" spans="6:6" ht="14.25" customHeight="1" x14ac:dyDescent="0.25">
      <c r="F60" s="5"/>
    </row>
    <row r="61" spans="6:6" ht="14.25" customHeight="1" x14ac:dyDescent="0.25">
      <c r="F61" s="5"/>
    </row>
    <row r="62" spans="6:6" ht="14.25" customHeight="1" x14ac:dyDescent="0.25">
      <c r="F62" s="5"/>
    </row>
    <row r="63" spans="6:6" ht="14.25" customHeight="1" x14ac:dyDescent="0.25">
      <c r="F63" s="5"/>
    </row>
    <row r="64" spans="6:6" ht="14.25" customHeight="1" x14ac:dyDescent="0.25">
      <c r="F64" s="5"/>
    </row>
    <row r="65" spans="6:6" ht="14.25" customHeight="1" x14ac:dyDescent="0.25">
      <c r="F65" s="5"/>
    </row>
    <row r="66" spans="6:6" ht="14.25" customHeight="1" x14ac:dyDescent="0.25">
      <c r="F66" s="5"/>
    </row>
    <row r="67" spans="6:6" ht="14.25" customHeight="1" x14ac:dyDescent="0.25">
      <c r="F67" s="5"/>
    </row>
    <row r="68" spans="6:6" ht="14.25" customHeight="1" x14ac:dyDescent="0.25">
      <c r="F68" s="5"/>
    </row>
    <row r="69" spans="6:6" ht="14.25" customHeight="1" x14ac:dyDescent="0.25">
      <c r="F69" s="5"/>
    </row>
    <row r="70" spans="6:6" ht="14.25" customHeight="1" x14ac:dyDescent="0.25">
      <c r="F70" s="5"/>
    </row>
    <row r="71" spans="6:6" ht="14.25" customHeight="1" x14ac:dyDescent="0.25">
      <c r="F71" s="5"/>
    </row>
    <row r="72" spans="6:6" ht="14.25" customHeight="1" x14ac:dyDescent="0.25">
      <c r="F72" s="5"/>
    </row>
    <row r="73" spans="6:6" ht="14.25" customHeight="1" x14ac:dyDescent="0.25">
      <c r="F73" s="5"/>
    </row>
    <row r="74" spans="6:6" ht="14.25" customHeight="1" x14ac:dyDescent="0.25">
      <c r="F74" s="5"/>
    </row>
    <row r="75" spans="6:6" ht="14.25" customHeight="1" x14ac:dyDescent="0.25">
      <c r="F75" s="5"/>
    </row>
    <row r="76" spans="6:6" ht="14.25" customHeight="1" x14ac:dyDescent="0.25">
      <c r="F76" s="5"/>
    </row>
    <row r="77" spans="6:6" ht="14.25" customHeight="1" x14ac:dyDescent="0.25">
      <c r="F77" s="5"/>
    </row>
    <row r="78" spans="6:6" ht="14.25" customHeight="1" x14ac:dyDescent="0.25">
      <c r="F78" s="5"/>
    </row>
    <row r="79" spans="6:6" ht="14.25" customHeight="1" x14ac:dyDescent="0.25">
      <c r="F79" s="5"/>
    </row>
    <row r="80" spans="6:6" ht="14.25" customHeight="1" x14ac:dyDescent="0.25">
      <c r="F80" s="5"/>
    </row>
    <row r="81" spans="6:6" ht="14.25" customHeight="1" x14ac:dyDescent="0.25">
      <c r="F81" s="5"/>
    </row>
    <row r="82" spans="6:6" ht="14.25" customHeight="1" x14ac:dyDescent="0.25">
      <c r="F82" s="5"/>
    </row>
    <row r="83" spans="6:6" ht="14.25" customHeight="1" x14ac:dyDescent="0.25">
      <c r="F83" s="5"/>
    </row>
    <row r="84" spans="6:6" ht="14.25" customHeight="1" x14ac:dyDescent="0.25">
      <c r="F84" s="5"/>
    </row>
    <row r="85" spans="6:6" ht="14.25" customHeight="1" x14ac:dyDescent="0.25">
      <c r="F85" s="5"/>
    </row>
    <row r="86" spans="6:6" ht="14.25" customHeight="1" x14ac:dyDescent="0.25">
      <c r="F86" s="5"/>
    </row>
    <row r="87" spans="6:6" ht="14.25" customHeight="1" x14ac:dyDescent="0.25">
      <c r="F87" s="5"/>
    </row>
    <row r="88" spans="6:6" ht="14.25" customHeight="1" x14ac:dyDescent="0.25">
      <c r="F88" s="5"/>
    </row>
    <row r="89" spans="6:6" ht="14.25" customHeight="1" x14ac:dyDescent="0.25">
      <c r="F89" s="5"/>
    </row>
    <row r="90" spans="6:6" ht="14.25" customHeight="1" x14ac:dyDescent="0.25">
      <c r="F90" s="5"/>
    </row>
    <row r="91" spans="6:6" ht="14.25" customHeight="1" x14ac:dyDescent="0.25">
      <c r="F91" s="5"/>
    </row>
    <row r="92" spans="6:6" ht="14.25" customHeight="1" x14ac:dyDescent="0.25">
      <c r="F92" s="5"/>
    </row>
    <row r="93" spans="6:6" ht="14.25" customHeight="1" x14ac:dyDescent="0.25">
      <c r="F93" s="5"/>
    </row>
    <row r="94" spans="6:6" ht="14.25" customHeight="1" x14ac:dyDescent="0.25">
      <c r="F94" s="5"/>
    </row>
    <row r="95" spans="6:6" ht="15.75" customHeight="1" x14ac:dyDescent="0.25">
      <c r="F95" s="5"/>
    </row>
    <row r="96" spans="6:6" ht="15.75" customHeight="1" x14ac:dyDescent="0.25">
      <c r="F96" s="5"/>
    </row>
    <row r="97" spans="6:6" ht="15.75" customHeight="1" x14ac:dyDescent="0.25">
      <c r="F97" s="5"/>
    </row>
    <row r="98" spans="6:6" ht="15.75" customHeight="1" x14ac:dyDescent="0.25">
      <c r="F98" s="5"/>
    </row>
    <row r="99" spans="6:6" ht="15.75" customHeight="1" x14ac:dyDescent="0.25">
      <c r="F99" s="5"/>
    </row>
    <row r="100" spans="6:6" ht="15.75" customHeight="1" x14ac:dyDescent="0.25">
      <c r="F100" s="5"/>
    </row>
    <row r="101" spans="6:6" ht="15.75" customHeight="1" x14ac:dyDescent="0.25">
      <c r="F101" s="5"/>
    </row>
    <row r="102" spans="6:6" ht="15.75" customHeight="1" x14ac:dyDescent="0.25">
      <c r="F102" s="5"/>
    </row>
    <row r="103" spans="6:6" ht="15.75" customHeight="1" x14ac:dyDescent="0.25">
      <c r="F103" s="5"/>
    </row>
    <row r="104" spans="6:6" ht="15.75" customHeight="1" x14ac:dyDescent="0.25">
      <c r="F104" s="5"/>
    </row>
    <row r="105" spans="6:6" ht="15.75" customHeight="1" x14ac:dyDescent="0.25">
      <c r="F105" s="5"/>
    </row>
    <row r="106" spans="6:6" ht="15.75" customHeight="1" x14ac:dyDescent="0.25">
      <c r="F106" s="5"/>
    </row>
    <row r="107" spans="6:6" ht="15.75" customHeight="1" x14ac:dyDescent="0.25">
      <c r="F107" s="5"/>
    </row>
    <row r="108" spans="6:6" ht="15.75" customHeight="1" x14ac:dyDescent="0.25">
      <c r="F108" s="5"/>
    </row>
    <row r="109" spans="6:6" ht="15.75" customHeight="1" x14ac:dyDescent="0.25">
      <c r="F109" s="5"/>
    </row>
    <row r="110" spans="6:6" ht="15.75" customHeight="1" x14ac:dyDescent="0.25">
      <c r="F110" s="5"/>
    </row>
    <row r="111" spans="6:6" ht="15.75" customHeight="1" x14ac:dyDescent="0.25">
      <c r="F111" s="5"/>
    </row>
    <row r="112" spans="6:6" ht="15.75" customHeight="1" x14ac:dyDescent="0.25">
      <c r="F112" s="5"/>
    </row>
    <row r="113" spans="6:6" ht="15.75" customHeight="1" x14ac:dyDescent="0.25">
      <c r="F113" s="5"/>
    </row>
    <row r="114" spans="6:6" ht="15.75" customHeight="1" x14ac:dyDescent="0.25">
      <c r="F114" s="5"/>
    </row>
    <row r="115" spans="6:6" ht="15.75" customHeight="1" x14ac:dyDescent="0.25">
      <c r="F115" s="5"/>
    </row>
    <row r="116" spans="6:6" ht="15.75" customHeight="1" x14ac:dyDescent="0.25">
      <c r="F116" s="5"/>
    </row>
    <row r="117" spans="6:6" ht="15.75" customHeight="1" x14ac:dyDescent="0.25">
      <c r="F117" s="5"/>
    </row>
    <row r="118" spans="6:6" ht="15.75" customHeight="1" x14ac:dyDescent="0.25">
      <c r="F118" s="5"/>
    </row>
    <row r="119" spans="6:6" ht="15.75" customHeight="1" x14ac:dyDescent="0.25">
      <c r="F119" s="5"/>
    </row>
    <row r="120" spans="6:6" ht="15.75" customHeight="1" x14ac:dyDescent="0.25">
      <c r="F120" s="5"/>
    </row>
    <row r="121" spans="6:6" ht="15.75" customHeight="1" x14ac:dyDescent="0.25">
      <c r="F121" s="5"/>
    </row>
    <row r="122" spans="6:6" ht="15.75" customHeight="1" x14ac:dyDescent="0.25">
      <c r="F122" s="5"/>
    </row>
    <row r="123" spans="6:6" ht="15.75" customHeight="1" x14ac:dyDescent="0.25">
      <c r="F123" s="5"/>
    </row>
    <row r="124" spans="6:6" ht="15.75" customHeight="1" x14ac:dyDescent="0.25">
      <c r="F124" s="5"/>
    </row>
    <row r="125" spans="6:6" ht="15.75" customHeight="1" x14ac:dyDescent="0.25">
      <c r="F125" s="5"/>
    </row>
    <row r="126" spans="6:6" ht="15.75" customHeight="1" x14ac:dyDescent="0.25">
      <c r="F126" s="5"/>
    </row>
    <row r="127" spans="6:6" ht="15.75" customHeight="1" x14ac:dyDescent="0.25">
      <c r="F127" s="5"/>
    </row>
    <row r="128" spans="6:6" ht="15.75" customHeight="1" x14ac:dyDescent="0.25">
      <c r="F128" s="5"/>
    </row>
    <row r="129" spans="6:6" ht="15.75" customHeight="1" x14ac:dyDescent="0.25">
      <c r="F129" s="5"/>
    </row>
    <row r="130" spans="6:6" ht="15.75" customHeight="1" x14ac:dyDescent="0.25">
      <c r="F130" s="5"/>
    </row>
    <row r="131" spans="6:6" ht="15.75" customHeight="1" x14ac:dyDescent="0.25">
      <c r="F131" s="5"/>
    </row>
    <row r="132" spans="6:6" ht="15.75" customHeight="1" x14ac:dyDescent="0.25">
      <c r="F132" s="5"/>
    </row>
    <row r="133" spans="6:6" ht="15.75" customHeight="1" x14ac:dyDescent="0.25">
      <c r="F133" s="5"/>
    </row>
    <row r="134" spans="6:6" ht="15.75" customHeight="1" x14ac:dyDescent="0.25">
      <c r="F134" s="5"/>
    </row>
    <row r="135" spans="6:6" ht="15.75" customHeight="1" x14ac:dyDescent="0.25">
      <c r="F135" s="5"/>
    </row>
    <row r="136" spans="6:6" ht="15.75" customHeight="1" x14ac:dyDescent="0.25">
      <c r="F136" s="5"/>
    </row>
    <row r="137" spans="6:6" ht="15.75" customHeight="1" x14ac:dyDescent="0.25">
      <c r="F137" s="5"/>
    </row>
    <row r="138" spans="6:6" ht="15.75" customHeight="1" x14ac:dyDescent="0.25">
      <c r="F138" s="5"/>
    </row>
    <row r="139" spans="6:6" ht="15.75" customHeight="1" x14ac:dyDescent="0.25">
      <c r="F139" s="5"/>
    </row>
    <row r="140" spans="6:6" ht="15.75" customHeight="1" x14ac:dyDescent="0.25">
      <c r="F140" s="5"/>
    </row>
    <row r="141" spans="6:6" ht="15.75" customHeight="1" x14ac:dyDescent="0.25">
      <c r="F141" s="5"/>
    </row>
    <row r="142" spans="6:6" ht="15.75" customHeight="1" x14ac:dyDescent="0.25">
      <c r="F142" s="5"/>
    </row>
    <row r="143" spans="6:6" ht="15.75" customHeight="1" x14ac:dyDescent="0.25">
      <c r="F143" s="5"/>
    </row>
    <row r="144" spans="6:6" ht="15.75" customHeight="1" x14ac:dyDescent="0.25">
      <c r="F144" s="5"/>
    </row>
    <row r="145" spans="6:6" ht="15.75" customHeight="1" x14ac:dyDescent="0.25">
      <c r="F145" s="5"/>
    </row>
    <row r="146" spans="6:6" ht="15.75" customHeight="1" x14ac:dyDescent="0.25">
      <c r="F146" s="5"/>
    </row>
    <row r="147" spans="6:6" ht="15.75" customHeight="1" x14ac:dyDescent="0.25">
      <c r="F147" s="5"/>
    </row>
    <row r="148" spans="6:6" ht="15.75" customHeight="1" x14ac:dyDescent="0.25">
      <c r="F148" s="5"/>
    </row>
    <row r="149" spans="6:6" ht="15.75" customHeight="1" x14ac:dyDescent="0.25">
      <c r="F149" s="5"/>
    </row>
    <row r="150" spans="6:6" ht="15.75" customHeight="1" x14ac:dyDescent="0.25">
      <c r="F150" s="5"/>
    </row>
    <row r="151" spans="6:6" ht="15.75" customHeight="1" x14ac:dyDescent="0.25">
      <c r="F151" s="5"/>
    </row>
    <row r="152" spans="6:6" ht="15.75" customHeight="1" x14ac:dyDescent="0.25">
      <c r="F152" s="5"/>
    </row>
    <row r="153" spans="6:6" ht="15.75" customHeight="1" x14ac:dyDescent="0.25">
      <c r="F153" s="5"/>
    </row>
    <row r="154" spans="6:6" ht="15.75" customHeight="1" x14ac:dyDescent="0.25">
      <c r="F154" s="5"/>
    </row>
    <row r="155" spans="6:6" ht="15.75" customHeight="1" x14ac:dyDescent="0.25">
      <c r="F155" s="5"/>
    </row>
    <row r="156" spans="6:6" ht="15.75" customHeight="1" x14ac:dyDescent="0.25">
      <c r="F156" s="5"/>
    </row>
    <row r="157" spans="6:6" ht="15.75" customHeight="1" x14ac:dyDescent="0.25">
      <c r="F157" s="5"/>
    </row>
    <row r="158" spans="6:6" ht="15.75" customHeight="1" x14ac:dyDescent="0.25">
      <c r="F158" s="5"/>
    </row>
    <row r="159" spans="6:6" ht="15.75" customHeight="1" x14ac:dyDescent="0.25">
      <c r="F159" s="5"/>
    </row>
    <row r="160" spans="6:6" ht="15.75" customHeight="1" x14ac:dyDescent="0.25">
      <c r="F160" s="5"/>
    </row>
    <row r="161" spans="6:6" ht="15.75" customHeight="1" x14ac:dyDescent="0.25">
      <c r="F161" s="5"/>
    </row>
    <row r="162" spans="6:6" ht="15.75" customHeight="1" x14ac:dyDescent="0.25">
      <c r="F162" s="5"/>
    </row>
    <row r="163" spans="6:6" ht="15.75" customHeight="1" x14ac:dyDescent="0.25">
      <c r="F163" s="5"/>
    </row>
    <row r="164" spans="6:6" ht="15.75" customHeight="1" x14ac:dyDescent="0.25">
      <c r="F164" s="5"/>
    </row>
    <row r="165" spans="6:6" ht="15.75" customHeight="1" x14ac:dyDescent="0.25">
      <c r="F165" s="5"/>
    </row>
    <row r="166" spans="6:6" ht="15.75" customHeight="1" x14ac:dyDescent="0.25">
      <c r="F166" s="5"/>
    </row>
    <row r="167" spans="6:6" ht="15.75" customHeight="1" x14ac:dyDescent="0.25">
      <c r="F167" s="5"/>
    </row>
    <row r="168" spans="6:6" ht="15.75" customHeight="1" x14ac:dyDescent="0.25">
      <c r="F168" s="5"/>
    </row>
    <row r="169" spans="6:6" ht="15.75" customHeight="1" x14ac:dyDescent="0.25">
      <c r="F169" s="5"/>
    </row>
    <row r="170" spans="6:6" ht="15.75" customHeight="1" x14ac:dyDescent="0.25">
      <c r="F170" s="5"/>
    </row>
    <row r="171" spans="6:6" ht="15.75" customHeight="1" x14ac:dyDescent="0.25">
      <c r="F171" s="5"/>
    </row>
    <row r="172" spans="6:6" ht="15.75" customHeight="1" x14ac:dyDescent="0.25">
      <c r="F172" s="5"/>
    </row>
    <row r="173" spans="6:6" ht="15.75" customHeight="1" x14ac:dyDescent="0.25">
      <c r="F173" s="5"/>
    </row>
    <row r="174" spans="6:6" ht="15.75" customHeight="1" x14ac:dyDescent="0.25">
      <c r="F174" s="5"/>
    </row>
    <row r="175" spans="6:6" ht="15.75" customHeight="1" x14ac:dyDescent="0.25">
      <c r="F175" s="5"/>
    </row>
    <row r="176" spans="6:6" ht="15.75" customHeight="1" x14ac:dyDescent="0.25">
      <c r="F176" s="5"/>
    </row>
    <row r="177" spans="6:6" ht="15.75" customHeight="1" x14ac:dyDescent="0.25">
      <c r="F177" s="5"/>
    </row>
    <row r="178" spans="6:6" ht="15.75" customHeight="1" x14ac:dyDescent="0.25">
      <c r="F178" s="5"/>
    </row>
    <row r="179" spans="6:6" ht="15.75" customHeight="1" x14ac:dyDescent="0.25">
      <c r="F179" s="5"/>
    </row>
    <row r="180" spans="6:6" ht="15.75" customHeight="1" x14ac:dyDescent="0.25">
      <c r="F180" s="5"/>
    </row>
    <row r="181" spans="6:6" ht="15.75" customHeight="1" x14ac:dyDescent="0.25">
      <c r="F181" s="5"/>
    </row>
    <row r="182" spans="6:6" ht="15.75" customHeight="1" x14ac:dyDescent="0.25">
      <c r="F182" s="5"/>
    </row>
    <row r="183" spans="6:6" ht="15.75" customHeight="1" x14ac:dyDescent="0.25">
      <c r="F183" s="5"/>
    </row>
    <row r="184" spans="6:6" ht="15.75" customHeight="1" x14ac:dyDescent="0.25">
      <c r="F184" s="5"/>
    </row>
    <row r="185" spans="6:6" ht="15.75" customHeight="1" x14ac:dyDescent="0.25">
      <c r="F185" s="5"/>
    </row>
    <row r="186" spans="6:6" ht="15.75" customHeight="1" x14ac:dyDescent="0.25">
      <c r="F186" s="5"/>
    </row>
    <row r="187" spans="6:6" ht="15.75" customHeight="1" x14ac:dyDescent="0.25">
      <c r="F187" s="5"/>
    </row>
    <row r="188" spans="6:6" ht="15.75" customHeight="1" x14ac:dyDescent="0.25">
      <c r="F188" s="5"/>
    </row>
    <row r="189" spans="6:6" ht="15.75" customHeight="1" x14ac:dyDescent="0.25">
      <c r="F189" s="5"/>
    </row>
    <row r="190" spans="6:6" ht="15.75" customHeight="1" x14ac:dyDescent="0.25">
      <c r="F190" s="5"/>
    </row>
    <row r="191" spans="6:6" ht="15.75" customHeight="1" x14ac:dyDescent="0.25">
      <c r="F191" s="5"/>
    </row>
    <row r="192" spans="6:6" ht="15.75" customHeight="1" x14ac:dyDescent="0.25">
      <c r="F192" s="5"/>
    </row>
    <row r="193" spans="6:6" ht="15.75" customHeight="1" x14ac:dyDescent="0.25">
      <c r="F193" s="5"/>
    </row>
    <row r="194" spans="6:6" ht="15.75" customHeight="1" x14ac:dyDescent="0.25">
      <c r="F194" s="5"/>
    </row>
    <row r="195" spans="6:6" ht="15.75" customHeight="1" x14ac:dyDescent="0.25">
      <c r="F195" s="5"/>
    </row>
    <row r="196" spans="6:6" ht="15.75" customHeight="1" x14ac:dyDescent="0.25">
      <c r="F196" s="5"/>
    </row>
    <row r="197" spans="6:6" ht="15.75" customHeight="1" x14ac:dyDescent="0.25">
      <c r="F197" s="5"/>
    </row>
    <row r="198" spans="6:6" ht="15.75" customHeight="1" x14ac:dyDescent="0.25">
      <c r="F198" s="5"/>
    </row>
    <row r="199" spans="6:6" ht="15.75" customHeight="1" x14ac:dyDescent="0.25">
      <c r="F199" s="5"/>
    </row>
    <row r="200" spans="6:6" ht="15.75" customHeight="1" x14ac:dyDescent="0.25">
      <c r="F200" s="5"/>
    </row>
    <row r="201" spans="6:6" ht="15.75" customHeight="1" x14ac:dyDescent="0.25">
      <c r="F201" s="5"/>
    </row>
    <row r="202" spans="6:6" ht="15.75" customHeight="1" x14ac:dyDescent="0.25">
      <c r="F202" s="5"/>
    </row>
    <row r="203" spans="6:6" ht="15.75" customHeight="1" x14ac:dyDescent="0.25">
      <c r="F203" s="5"/>
    </row>
    <row r="204" spans="6:6" ht="15.75" customHeight="1" x14ac:dyDescent="0.25">
      <c r="F204" s="5"/>
    </row>
    <row r="205" spans="6:6" ht="15.75" customHeight="1" x14ac:dyDescent="0.25">
      <c r="F205" s="5"/>
    </row>
    <row r="206" spans="6:6" ht="15.75" customHeight="1" x14ac:dyDescent="0.25">
      <c r="F206" s="5"/>
    </row>
    <row r="207" spans="6:6" ht="15.75" customHeight="1" x14ac:dyDescent="0.25">
      <c r="F207" s="5"/>
    </row>
    <row r="208" spans="6:6" ht="15.75" customHeight="1" x14ac:dyDescent="0.25">
      <c r="F208" s="5"/>
    </row>
    <row r="209" spans="6:6" ht="15.75" customHeight="1" x14ac:dyDescent="0.25">
      <c r="F209" s="5"/>
    </row>
    <row r="210" spans="6:6" ht="15.75" customHeight="1" x14ac:dyDescent="0.25">
      <c r="F210" s="5"/>
    </row>
    <row r="211" spans="6:6" ht="15.75" customHeight="1" x14ac:dyDescent="0.25">
      <c r="F211" s="5"/>
    </row>
    <row r="212" spans="6:6" ht="15.75" customHeight="1" x14ac:dyDescent="0.25">
      <c r="F212" s="5"/>
    </row>
    <row r="213" spans="6:6" ht="15.75" customHeight="1" x14ac:dyDescent="0.25">
      <c r="F213" s="5"/>
    </row>
    <row r="214" spans="6:6" ht="15.75" customHeight="1" x14ac:dyDescent="0.25">
      <c r="F214" s="5"/>
    </row>
    <row r="215" spans="6:6" ht="15.75" customHeight="1" x14ac:dyDescent="0.25">
      <c r="F215" s="5"/>
    </row>
    <row r="216" spans="6:6" ht="15.75" customHeight="1" x14ac:dyDescent="0.25">
      <c r="F216" s="5"/>
    </row>
    <row r="217" spans="6:6" ht="15.75" customHeight="1" x14ac:dyDescent="0.25">
      <c r="F217" s="5"/>
    </row>
    <row r="218" spans="6:6" ht="15.75" customHeight="1" x14ac:dyDescent="0.25">
      <c r="F218" s="5"/>
    </row>
    <row r="219" spans="6:6" ht="15.75" customHeight="1" x14ac:dyDescent="0.25">
      <c r="F219" s="5"/>
    </row>
    <row r="220" spans="6:6" ht="15.75" customHeight="1" x14ac:dyDescent="0.25">
      <c r="F220" s="5"/>
    </row>
    <row r="221" spans="6:6" ht="15.75" customHeight="1" x14ac:dyDescent="0.25">
      <c r="F221" s="5"/>
    </row>
    <row r="222" spans="6:6" ht="15.75" customHeight="1" x14ac:dyDescent="0.25">
      <c r="F222" s="5"/>
    </row>
    <row r="223" spans="6:6" ht="15.75" customHeight="1" x14ac:dyDescent="0.25">
      <c r="F223" s="5"/>
    </row>
    <row r="224" spans="6:6" ht="15.75" customHeight="1" x14ac:dyDescent="0.25">
      <c r="F224" s="5"/>
    </row>
    <row r="225" spans="6:6" ht="15.75" customHeight="1" x14ac:dyDescent="0.25">
      <c r="F225" s="5"/>
    </row>
    <row r="226" spans="6:6" ht="15.75" customHeight="1" x14ac:dyDescent="0.25">
      <c r="F226" s="5"/>
    </row>
    <row r="227" spans="6:6" ht="15.75" customHeight="1" x14ac:dyDescent="0.25">
      <c r="F227" s="5"/>
    </row>
    <row r="228" spans="6:6" ht="15.75" customHeight="1" x14ac:dyDescent="0.25">
      <c r="F228" s="5"/>
    </row>
    <row r="229" spans="6:6" ht="15.75" customHeight="1" x14ac:dyDescent="0.25">
      <c r="F229" s="5"/>
    </row>
    <row r="230" spans="6:6" ht="15.75" customHeight="1" x14ac:dyDescent="0.25">
      <c r="F230" s="5"/>
    </row>
    <row r="231" spans="6:6" ht="15.75" customHeight="1" x14ac:dyDescent="0.25">
      <c r="F231" s="5"/>
    </row>
    <row r="232" spans="6:6" ht="15.75" customHeight="1" x14ac:dyDescent="0.25">
      <c r="F232" s="5"/>
    </row>
    <row r="233" spans="6:6" ht="15.75" customHeight="1" x14ac:dyDescent="0.25">
      <c r="F233" s="5"/>
    </row>
    <row r="234" spans="6:6" ht="15.75" customHeight="1" x14ac:dyDescent="0.25">
      <c r="F234" s="5"/>
    </row>
    <row r="235" spans="6:6" ht="15.75" customHeight="1" x14ac:dyDescent="0.25">
      <c r="F235" s="5"/>
    </row>
    <row r="236" spans="6:6" ht="15.75" customHeight="1" x14ac:dyDescent="0.25">
      <c r="F236" s="5"/>
    </row>
    <row r="237" spans="6:6" ht="15.75" customHeight="1" x14ac:dyDescent="0.25">
      <c r="F237" s="5"/>
    </row>
    <row r="238" spans="6:6" ht="15.75" customHeight="1" x14ac:dyDescent="0.25">
      <c r="F238" s="5"/>
    </row>
    <row r="239" spans="6:6" ht="15.75" customHeight="1" x14ac:dyDescent="0.25">
      <c r="F239" s="5"/>
    </row>
    <row r="240" spans="6:6" ht="15.75" customHeight="1" x14ac:dyDescent="0.25">
      <c r="F240" s="5"/>
    </row>
    <row r="241" spans="6:6" ht="15.75" customHeight="1" x14ac:dyDescent="0.25">
      <c r="F241" s="5"/>
    </row>
    <row r="242" spans="6:6" ht="15.75" customHeight="1" x14ac:dyDescent="0.25">
      <c r="F242" s="5"/>
    </row>
    <row r="243" spans="6:6" ht="15.75" customHeight="1" x14ac:dyDescent="0.25">
      <c r="F243" s="5"/>
    </row>
    <row r="244" spans="6:6" ht="15.75" customHeight="1" x14ac:dyDescent="0.25">
      <c r="F244" s="5"/>
    </row>
    <row r="245" spans="6:6" ht="15.75" customHeight="1" x14ac:dyDescent="0.25">
      <c r="F245" s="5"/>
    </row>
    <row r="246" spans="6:6" ht="15.75" customHeight="1" x14ac:dyDescent="0.25">
      <c r="F246" s="5"/>
    </row>
    <row r="247" spans="6:6" ht="15.75" customHeight="1" x14ac:dyDescent="0.25">
      <c r="F247" s="5"/>
    </row>
    <row r="248" spans="6:6" ht="15.75" customHeight="1" x14ac:dyDescent="0.25">
      <c r="F248" s="5"/>
    </row>
    <row r="249" spans="6:6" ht="15.75" customHeight="1" x14ac:dyDescent="0.25">
      <c r="F249" s="5"/>
    </row>
    <row r="250" spans="6:6" ht="15.75" customHeight="1" x14ac:dyDescent="0.25">
      <c r="F250" s="5"/>
    </row>
    <row r="251" spans="6:6" ht="15.75" customHeight="1" x14ac:dyDescent="0.25">
      <c r="F251" s="5"/>
    </row>
    <row r="252" spans="6:6" ht="15.75" customHeight="1" x14ac:dyDescent="0.25">
      <c r="F252" s="5"/>
    </row>
    <row r="253" spans="6:6" ht="15.75" customHeight="1" x14ac:dyDescent="0.25">
      <c r="F253" s="5"/>
    </row>
    <row r="254" spans="6:6" ht="15.75" customHeight="1" x14ac:dyDescent="0.25">
      <c r="F254" s="5"/>
    </row>
    <row r="255" spans="6:6" ht="15.75" customHeight="1" x14ac:dyDescent="0.25">
      <c r="F255" s="5"/>
    </row>
    <row r="256" spans="6:6" ht="15.75" customHeight="1" x14ac:dyDescent="0.25">
      <c r="F256" s="5"/>
    </row>
    <row r="257" spans="6:6" ht="15.75" customHeight="1" x14ac:dyDescent="0.25">
      <c r="F257" s="5"/>
    </row>
    <row r="258" spans="6:6" ht="15.75" customHeight="1" x14ac:dyDescent="0.25">
      <c r="F258" s="5"/>
    </row>
    <row r="259" spans="6:6" ht="15.75" customHeight="1" x14ac:dyDescent="0.25">
      <c r="F259" s="5"/>
    </row>
    <row r="260" spans="6:6" ht="15.75" customHeight="1" x14ac:dyDescent="0.25">
      <c r="F260" s="5"/>
    </row>
    <row r="261" spans="6:6" ht="15.75" customHeight="1" x14ac:dyDescent="0.25">
      <c r="F261" s="5"/>
    </row>
    <row r="262" spans="6:6" ht="15.75" customHeight="1" x14ac:dyDescent="0.25">
      <c r="F262" s="5"/>
    </row>
    <row r="263" spans="6:6" ht="15.75" customHeight="1" x14ac:dyDescent="0.25">
      <c r="F263" s="5"/>
    </row>
    <row r="264" spans="6:6" ht="15.75" customHeight="1" x14ac:dyDescent="0.25">
      <c r="F264" s="5"/>
    </row>
    <row r="265" spans="6:6" ht="15.75" customHeight="1" x14ac:dyDescent="0.25">
      <c r="F265" s="5"/>
    </row>
    <row r="266" spans="6:6" ht="15.75" customHeight="1" x14ac:dyDescent="0.25">
      <c r="F266" s="5"/>
    </row>
    <row r="267" spans="6:6" ht="15.75" customHeight="1" x14ac:dyDescent="0.25">
      <c r="F267" s="5"/>
    </row>
    <row r="268" spans="6:6" ht="15.75" customHeight="1" x14ac:dyDescent="0.25">
      <c r="F268" s="5"/>
    </row>
    <row r="269" spans="6:6" ht="15.75" customHeight="1" x14ac:dyDescent="0.25">
      <c r="F269" s="5"/>
    </row>
    <row r="270" spans="6:6" ht="15.75" customHeight="1" x14ac:dyDescent="0.25">
      <c r="F270" s="5"/>
    </row>
    <row r="271" spans="6:6" ht="15.75" customHeight="1" x14ac:dyDescent="0.25">
      <c r="F271" s="5"/>
    </row>
    <row r="272" spans="6:6" ht="15.75" customHeight="1" x14ac:dyDescent="0.25">
      <c r="F272" s="5"/>
    </row>
    <row r="273" spans="6:6" ht="15.75" customHeight="1" x14ac:dyDescent="0.25">
      <c r="F273" s="5"/>
    </row>
    <row r="274" spans="6:6" ht="15.75" customHeight="1" x14ac:dyDescent="0.25">
      <c r="F274" s="5"/>
    </row>
    <row r="275" spans="6:6" ht="15.75" customHeight="1" x14ac:dyDescent="0.25">
      <c r="F275" s="5"/>
    </row>
    <row r="276" spans="6:6" ht="15.75" customHeight="1" x14ac:dyDescent="0.25">
      <c r="F276" s="5"/>
    </row>
    <row r="277" spans="6:6" ht="15.75" customHeight="1" x14ac:dyDescent="0.25">
      <c r="F277" s="5"/>
    </row>
    <row r="278" spans="6:6" ht="15.75" customHeight="1" x14ac:dyDescent="0.25">
      <c r="F278" s="5"/>
    </row>
    <row r="279" spans="6:6" ht="15.75" customHeight="1" x14ac:dyDescent="0.25">
      <c r="F279" s="5"/>
    </row>
    <row r="280" spans="6:6" ht="15.75" customHeight="1" x14ac:dyDescent="0.25">
      <c r="F280" s="5"/>
    </row>
    <row r="281" spans="6:6" ht="15.75" customHeight="1" x14ac:dyDescent="0.25">
      <c r="F281" s="5"/>
    </row>
    <row r="282" spans="6:6" ht="15.75" customHeight="1" x14ac:dyDescent="0.25">
      <c r="F282" s="5"/>
    </row>
    <row r="283" spans="6:6" ht="15.75" customHeight="1" x14ac:dyDescent="0.25">
      <c r="F283" s="5"/>
    </row>
    <row r="284" spans="6:6" ht="15.75" customHeight="1" x14ac:dyDescent="0.25">
      <c r="F284" s="5"/>
    </row>
    <row r="285" spans="6:6" ht="15.75" customHeight="1" x14ac:dyDescent="0.25">
      <c r="F285" s="5"/>
    </row>
    <row r="286" spans="6:6" ht="15.75" customHeight="1" x14ac:dyDescent="0.25">
      <c r="F286" s="5"/>
    </row>
    <row r="287" spans="6:6" ht="15.75" customHeight="1" x14ac:dyDescent="0.25">
      <c r="F287" s="5"/>
    </row>
    <row r="288" spans="6:6" ht="15.75" customHeight="1" x14ac:dyDescent="0.25">
      <c r="F288" s="5"/>
    </row>
    <row r="289" spans="6:6" ht="15.75" customHeight="1" x14ac:dyDescent="0.25">
      <c r="F289" s="5"/>
    </row>
    <row r="290" spans="6:6" ht="15.75" customHeight="1" x14ac:dyDescent="0.25">
      <c r="F290" s="5"/>
    </row>
    <row r="291" spans="6:6" ht="15.75" customHeight="1" x14ac:dyDescent="0.25">
      <c r="F291" s="5"/>
    </row>
    <row r="292" spans="6:6" ht="15.75" customHeight="1" x14ac:dyDescent="0.25">
      <c r="F292" s="5"/>
    </row>
    <row r="293" spans="6:6" ht="15.75" customHeight="1" x14ac:dyDescent="0.25">
      <c r="F293" s="5"/>
    </row>
    <row r="294" spans="6:6" ht="15.75" customHeight="1" x14ac:dyDescent="0.25">
      <c r="F294" s="5"/>
    </row>
    <row r="295" spans="6:6" ht="15.75" customHeight="1" x14ac:dyDescent="0.25">
      <c r="F295" s="5"/>
    </row>
    <row r="296" spans="6:6" ht="15.75" customHeight="1" x14ac:dyDescent="0.25">
      <c r="F296" s="5"/>
    </row>
    <row r="297" spans="6:6" ht="15.75" customHeight="1" x14ac:dyDescent="0.25">
      <c r="F297" s="5"/>
    </row>
    <row r="298" spans="6:6" ht="15.75" customHeight="1" x14ac:dyDescent="0.25">
      <c r="F298" s="5"/>
    </row>
    <row r="299" spans="6:6" ht="15.75" customHeight="1" x14ac:dyDescent="0.25">
      <c r="F299" s="5"/>
    </row>
    <row r="300" spans="6:6" ht="15.75" customHeight="1" x14ac:dyDescent="0.25">
      <c r="F300" s="5"/>
    </row>
    <row r="301" spans="6:6" ht="15.75" customHeight="1" x14ac:dyDescent="0.25">
      <c r="F301" s="5"/>
    </row>
    <row r="302" spans="6:6" ht="15.75" customHeight="1" x14ac:dyDescent="0.25">
      <c r="F302" s="5"/>
    </row>
    <row r="303" spans="6:6" ht="15.75" customHeight="1" x14ac:dyDescent="0.25">
      <c r="F303" s="5"/>
    </row>
    <row r="304" spans="6:6" ht="15.75" customHeight="1" x14ac:dyDescent="0.25">
      <c r="F304" s="5"/>
    </row>
    <row r="305" spans="6:6" ht="15.75" customHeight="1" x14ac:dyDescent="0.25">
      <c r="F305" s="5"/>
    </row>
    <row r="306" spans="6:6" ht="15.75" customHeight="1" x14ac:dyDescent="0.25">
      <c r="F306" s="5"/>
    </row>
    <row r="307" spans="6:6" ht="15.75" customHeight="1" x14ac:dyDescent="0.25">
      <c r="F307" s="5"/>
    </row>
    <row r="308" spans="6:6" ht="15.75" customHeight="1" x14ac:dyDescent="0.25">
      <c r="F308" s="5"/>
    </row>
    <row r="309" spans="6:6" ht="15.75" customHeight="1" x14ac:dyDescent="0.25">
      <c r="F309" s="5"/>
    </row>
    <row r="310" spans="6:6" ht="15.75" customHeight="1" x14ac:dyDescent="0.25">
      <c r="F310" s="5"/>
    </row>
    <row r="311" spans="6:6" ht="15.75" customHeight="1" x14ac:dyDescent="0.25">
      <c r="F311" s="5"/>
    </row>
    <row r="312" spans="6:6" ht="15.75" customHeight="1" x14ac:dyDescent="0.25">
      <c r="F312" s="5"/>
    </row>
    <row r="313" spans="6:6" ht="15.75" customHeight="1" x14ac:dyDescent="0.25">
      <c r="F313" s="5"/>
    </row>
    <row r="314" spans="6:6" ht="15.75" customHeight="1" x14ac:dyDescent="0.25">
      <c r="F314" s="5"/>
    </row>
    <row r="315" spans="6:6" ht="15.75" customHeight="1" x14ac:dyDescent="0.25">
      <c r="F315" s="5"/>
    </row>
    <row r="316" spans="6:6" ht="15.75" customHeight="1" x14ac:dyDescent="0.25">
      <c r="F316" s="5"/>
    </row>
    <row r="317" spans="6:6" ht="15.75" customHeight="1" x14ac:dyDescent="0.25">
      <c r="F317" s="5"/>
    </row>
    <row r="318" spans="6:6" ht="15.75" customHeight="1" x14ac:dyDescent="0.25">
      <c r="F318" s="5"/>
    </row>
    <row r="319" spans="6:6" ht="15.75" customHeight="1" x14ac:dyDescent="0.25">
      <c r="F319" s="5"/>
    </row>
    <row r="320" spans="6:6" ht="15.75" customHeight="1" x14ac:dyDescent="0.25">
      <c r="F320" s="5"/>
    </row>
    <row r="321" spans="6:6" ht="15.75" customHeight="1" x14ac:dyDescent="0.25">
      <c r="F321" s="5"/>
    </row>
    <row r="322" spans="6:6" ht="15.75" customHeight="1" x14ac:dyDescent="0.25">
      <c r="F322" s="5"/>
    </row>
    <row r="323" spans="6:6" ht="15.75" customHeight="1" x14ac:dyDescent="0.25">
      <c r="F323" s="5"/>
    </row>
    <row r="324" spans="6:6" ht="15.75" customHeight="1" x14ac:dyDescent="0.25">
      <c r="F324" s="5"/>
    </row>
    <row r="325" spans="6:6" ht="15.75" customHeight="1" x14ac:dyDescent="0.25">
      <c r="F325" s="5"/>
    </row>
    <row r="326" spans="6:6" ht="15.75" customHeight="1" x14ac:dyDescent="0.25">
      <c r="F326" s="5"/>
    </row>
    <row r="327" spans="6:6" ht="15.75" customHeight="1" x14ac:dyDescent="0.25">
      <c r="F327" s="5"/>
    </row>
    <row r="328" spans="6:6" ht="15.75" customHeight="1" x14ac:dyDescent="0.25">
      <c r="F328" s="5"/>
    </row>
    <row r="329" spans="6:6" ht="15.75" customHeight="1" x14ac:dyDescent="0.25">
      <c r="F329" s="5"/>
    </row>
    <row r="330" spans="6:6" ht="15.75" customHeight="1" x14ac:dyDescent="0.25">
      <c r="F330" s="5"/>
    </row>
    <row r="331" spans="6:6" ht="15.75" customHeight="1" x14ac:dyDescent="0.25">
      <c r="F331" s="5"/>
    </row>
    <row r="332" spans="6:6" ht="15.75" customHeight="1" x14ac:dyDescent="0.25">
      <c r="F332" s="5"/>
    </row>
    <row r="333" spans="6:6" ht="15.75" customHeight="1" x14ac:dyDescent="0.25">
      <c r="F333" s="5"/>
    </row>
    <row r="334" spans="6:6" ht="15.75" customHeight="1" x14ac:dyDescent="0.25">
      <c r="F334" s="5"/>
    </row>
    <row r="335" spans="6:6" ht="15.75" customHeight="1" x14ac:dyDescent="0.25">
      <c r="F335" s="5"/>
    </row>
    <row r="336" spans="6:6" ht="15.75" customHeight="1" x14ac:dyDescent="0.25">
      <c r="F336" s="5"/>
    </row>
    <row r="337" spans="6:6" ht="15.75" customHeight="1" x14ac:dyDescent="0.25">
      <c r="F337" s="5"/>
    </row>
    <row r="338" spans="6:6" ht="15.75" customHeight="1" x14ac:dyDescent="0.25">
      <c r="F338" s="5"/>
    </row>
    <row r="339" spans="6:6" ht="15.75" customHeight="1" x14ac:dyDescent="0.25">
      <c r="F339" s="5"/>
    </row>
    <row r="340" spans="6:6" ht="15.75" customHeight="1" x14ac:dyDescent="0.25">
      <c r="F340" s="5"/>
    </row>
    <row r="341" spans="6:6" ht="15.75" customHeight="1" x14ac:dyDescent="0.25">
      <c r="F341" s="5"/>
    </row>
    <row r="342" spans="6:6" ht="15.75" customHeight="1" x14ac:dyDescent="0.25">
      <c r="F342" s="5"/>
    </row>
    <row r="343" spans="6:6" ht="15.75" customHeight="1" x14ac:dyDescent="0.25">
      <c r="F343" s="5"/>
    </row>
    <row r="344" spans="6:6" ht="15.75" customHeight="1" x14ac:dyDescent="0.25">
      <c r="F344" s="5"/>
    </row>
    <row r="345" spans="6:6" ht="15.75" customHeight="1" x14ac:dyDescent="0.25">
      <c r="F345" s="5"/>
    </row>
    <row r="346" spans="6:6" ht="15.75" customHeight="1" x14ac:dyDescent="0.25">
      <c r="F346" s="5"/>
    </row>
    <row r="347" spans="6:6" ht="15.75" customHeight="1" x14ac:dyDescent="0.25">
      <c r="F347" s="5"/>
    </row>
    <row r="348" spans="6:6" ht="15.75" customHeight="1" x14ac:dyDescent="0.25">
      <c r="F348" s="5"/>
    </row>
    <row r="349" spans="6:6" ht="15.75" customHeight="1" x14ac:dyDescent="0.25">
      <c r="F349" s="5"/>
    </row>
    <row r="350" spans="6:6" ht="15.75" customHeight="1" x14ac:dyDescent="0.25">
      <c r="F350" s="5"/>
    </row>
    <row r="351" spans="6:6" ht="15.75" customHeight="1" x14ac:dyDescent="0.25">
      <c r="F351" s="5"/>
    </row>
    <row r="352" spans="6:6" ht="15.75" customHeight="1" x14ac:dyDescent="0.25">
      <c r="F352" s="5"/>
    </row>
    <row r="353" spans="6:6" ht="15.75" customHeight="1" x14ac:dyDescent="0.25">
      <c r="F353" s="5"/>
    </row>
    <row r="354" spans="6:6" ht="15.75" customHeight="1" x14ac:dyDescent="0.25">
      <c r="F354" s="5"/>
    </row>
    <row r="355" spans="6:6" ht="15.75" customHeight="1" x14ac:dyDescent="0.25">
      <c r="F355" s="5"/>
    </row>
    <row r="356" spans="6:6" ht="15.75" customHeight="1" x14ac:dyDescent="0.25">
      <c r="F356" s="5"/>
    </row>
    <row r="357" spans="6:6" ht="15.75" customHeight="1" x14ac:dyDescent="0.25">
      <c r="F357" s="5"/>
    </row>
    <row r="358" spans="6:6" ht="15.75" customHeight="1" x14ac:dyDescent="0.25">
      <c r="F358" s="5"/>
    </row>
    <row r="359" spans="6:6" ht="15.75" customHeight="1" x14ac:dyDescent="0.25">
      <c r="F359" s="5"/>
    </row>
    <row r="360" spans="6:6" ht="15.75" customHeight="1" x14ac:dyDescent="0.25">
      <c r="F360" s="5"/>
    </row>
    <row r="361" spans="6:6" ht="15.75" customHeight="1" x14ac:dyDescent="0.25">
      <c r="F361" s="5"/>
    </row>
    <row r="362" spans="6:6" ht="15.75" customHeight="1" x14ac:dyDescent="0.25">
      <c r="F362" s="5"/>
    </row>
    <row r="363" spans="6:6" ht="15.75" customHeight="1" x14ac:dyDescent="0.25">
      <c r="F363" s="5"/>
    </row>
    <row r="364" spans="6:6" ht="15.75" customHeight="1" x14ac:dyDescent="0.25">
      <c r="F364" s="5"/>
    </row>
    <row r="365" spans="6:6" ht="15.75" customHeight="1" x14ac:dyDescent="0.25">
      <c r="F365" s="5"/>
    </row>
    <row r="366" spans="6:6" ht="15.75" customHeight="1" x14ac:dyDescent="0.25">
      <c r="F366" s="5"/>
    </row>
    <row r="367" spans="6:6" ht="15.75" customHeight="1" x14ac:dyDescent="0.25">
      <c r="F367" s="5"/>
    </row>
    <row r="368" spans="6:6" ht="15.75" customHeight="1" x14ac:dyDescent="0.25">
      <c r="F368" s="5"/>
    </row>
    <row r="369" spans="6:6" ht="15.75" customHeight="1" x14ac:dyDescent="0.25">
      <c r="F369" s="5"/>
    </row>
    <row r="370" spans="6:6" ht="15.75" customHeight="1" x14ac:dyDescent="0.25">
      <c r="F370" s="5"/>
    </row>
    <row r="371" spans="6:6" ht="15.75" customHeight="1" x14ac:dyDescent="0.25">
      <c r="F371" s="5"/>
    </row>
    <row r="372" spans="6:6" ht="15.75" customHeight="1" x14ac:dyDescent="0.25">
      <c r="F372" s="5"/>
    </row>
    <row r="373" spans="6:6" ht="15.75" customHeight="1" x14ac:dyDescent="0.25">
      <c r="F373" s="5"/>
    </row>
    <row r="374" spans="6:6" ht="15.75" customHeight="1" x14ac:dyDescent="0.25">
      <c r="F374" s="5"/>
    </row>
    <row r="375" spans="6:6" ht="15.75" customHeight="1" x14ac:dyDescent="0.25">
      <c r="F375" s="5"/>
    </row>
    <row r="376" spans="6:6" ht="15.75" customHeight="1" x14ac:dyDescent="0.25">
      <c r="F376" s="5"/>
    </row>
    <row r="377" spans="6:6" ht="15.75" customHeight="1" x14ac:dyDescent="0.25">
      <c r="F377" s="5"/>
    </row>
    <row r="378" spans="6:6" ht="15.75" customHeight="1" x14ac:dyDescent="0.25">
      <c r="F378" s="5"/>
    </row>
    <row r="379" spans="6:6" ht="15.75" customHeight="1" x14ac:dyDescent="0.25">
      <c r="F379" s="5"/>
    </row>
    <row r="380" spans="6:6" ht="15.75" customHeight="1" x14ac:dyDescent="0.25">
      <c r="F380" s="5"/>
    </row>
    <row r="381" spans="6:6" ht="15.75" customHeight="1" x14ac:dyDescent="0.25">
      <c r="F381" s="5"/>
    </row>
    <row r="382" spans="6:6" ht="15.75" customHeight="1" x14ac:dyDescent="0.25">
      <c r="F382" s="5"/>
    </row>
    <row r="383" spans="6:6" ht="15.75" customHeight="1" x14ac:dyDescent="0.25">
      <c r="F383" s="5"/>
    </row>
    <row r="384" spans="6:6" ht="15.75" customHeight="1" x14ac:dyDescent="0.25">
      <c r="F384" s="5"/>
    </row>
    <row r="385" spans="6:6" ht="15.75" customHeight="1" x14ac:dyDescent="0.25">
      <c r="F385" s="5"/>
    </row>
    <row r="386" spans="6:6" ht="15.75" customHeight="1" x14ac:dyDescent="0.25">
      <c r="F386" s="5"/>
    </row>
    <row r="387" spans="6:6" ht="15.75" customHeight="1" x14ac:dyDescent="0.25">
      <c r="F387" s="5"/>
    </row>
    <row r="388" spans="6:6" ht="15.75" customHeight="1" x14ac:dyDescent="0.25">
      <c r="F388" s="5"/>
    </row>
    <row r="389" spans="6:6" ht="15.75" customHeight="1" x14ac:dyDescent="0.25">
      <c r="F389" s="5"/>
    </row>
    <row r="390" spans="6:6" ht="15.75" customHeight="1" x14ac:dyDescent="0.25">
      <c r="F390" s="5"/>
    </row>
    <row r="391" spans="6:6" ht="15.75" customHeight="1" x14ac:dyDescent="0.25">
      <c r="F391" s="5"/>
    </row>
    <row r="392" spans="6:6" ht="15.75" customHeight="1" x14ac:dyDescent="0.25">
      <c r="F392" s="5"/>
    </row>
    <row r="393" spans="6:6" ht="15.75" customHeight="1" x14ac:dyDescent="0.25">
      <c r="F393" s="5"/>
    </row>
    <row r="394" spans="6:6" ht="15.75" customHeight="1" x14ac:dyDescent="0.25">
      <c r="F394" s="5"/>
    </row>
    <row r="395" spans="6:6" ht="15.75" customHeight="1" x14ac:dyDescent="0.25">
      <c r="F395" s="5"/>
    </row>
    <row r="396" spans="6:6" ht="15.75" customHeight="1" x14ac:dyDescent="0.25">
      <c r="F396" s="5"/>
    </row>
    <row r="397" spans="6:6" ht="15.75" customHeight="1" x14ac:dyDescent="0.25">
      <c r="F397" s="5"/>
    </row>
    <row r="398" spans="6:6" ht="15.75" customHeight="1" x14ac:dyDescent="0.25">
      <c r="F398" s="5"/>
    </row>
    <row r="399" spans="6:6" ht="15.75" customHeight="1" x14ac:dyDescent="0.25">
      <c r="F399" s="5"/>
    </row>
    <row r="400" spans="6:6" ht="15.75" customHeight="1" x14ac:dyDescent="0.25">
      <c r="F400" s="5"/>
    </row>
    <row r="401" spans="6:6" ht="15.75" customHeight="1" x14ac:dyDescent="0.25">
      <c r="F401" s="5"/>
    </row>
    <row r="402" spans="6:6" ht="15.75" customHeight="1" x14ac:dyDescent="0.25">
      <c r="F402" s="5"/>
    </row>
    <row r="403" spans="6:6" ht="15.75" customHeight="1" x14ac:dyDescent="0.25">
      <c r="F403" s="5"/>
    </row>
    <row r="404" spans="6:6" ht="15.75" customHeight="1" x14ac:dyDescent="0.25">
      <c r="F404" s="5"/>
    </row>
    <row r="405" spans="6:6" ht="15.75" customHeight="1" x14ac:dyDescent="0.25">
      <c r="F405" s="5"/>
    </row>
    <row r="406" spans="6:6" ht="15.75" customHeight="1" x14ac:dyDescent="0.25">
      <c r="F406" s="5"/>
    </row>
    <row r="407" spans="6:6" ht="15.75" customHeight="1" x14ac:dyDescent="0.25">
      <c r="F407" s="5"/>
    </row>
    <row r="408" spans="6:6" ht="15.75" customHeight="1" x14ac:dyDescent="0.25">
      <c r="F408" s="5"/>
    </row>
    <row r="409" spans="6:6" ht="15.75" customHeight="1" x14ac:dyDescent="0.25">
      <c r="F409" s="5"/>
    </row>
    <row r="410" spans="6:6" ht="15.75" customHeight="1" x14ac:dyDescent="0.25">
      <c r="F410" s="5"/>
    </row>
    <row r="411" spans="6:6" ht="15.75" customHeight="1" x14ac:dyDescent="0.25">
      <c r="F411" s="5"/>
    </row>
    <row r="412" spans="6:6" ht="15.75" customHeight="1" x14ac:dyDescent="0.25">
      <c r="F412" s="5"/>
    </row>
    <row r="413" spans="6:6" ht="15.75" customHeight="1" x14ac:dyDescent="0.25">
      <c r="F413" s="5"/>
    </row>
    <row r="414" spans="6:6" ht="15.75" customHeight="1" x14ac:dyDescent="0.25">
      <c r="F414" s="5"/>
    </row>
    <row r="415" spans="6:6" ht="15.75" customHeight="1" x14ac:dyDescent="0.25">
      <c r="F415" s="5"/>
    </row>
    <row r="416" spans="6:6" ht="15.75" customHeight="1" x14ac:dyDescent="0.25">
      <c r="F416" s="5"/>
    </row>
    <row r="417" spans="6:6" ht="15.75" customHeight="1" x14ac:dyDescent="0.25">
      <c r="F417" s="5"/>
    </row>
    <row r="418" spans="6:6" ht="15.75" customHeight="1" x14ac:dyDescent="0.25">
      <c r="F418" s="5"/>
    </row>
    <row r="419" spans="6:6" ht="15.75" customHeight="1" x14ac:dyDescent="0.25">
      <c r="F419" s="5"/>
    </row>
    <row r="420" spans="6:6" ht="15.75" customHeight="1" x14ac:dyDescent="0.25">
      <c r="F420" s="5"/>
    </row>
    <row r="421" spans="6:6" ht="15.75" customHeight="1" x14ac:dyDescent="0.25">
      <c r="F421" s="5"/>
    </row>
    <row r="422" spans="6:6" ht="15.75" customHeight="1" x14ac:dyDescent="0.25">
      <c r="F422" s="5"/>
    </row>
    <row r="423" spans="6:6" ht="15.75" customHeight="1" x14ac:dyDescent="0.25">
      <c r="F423" s="5"/>
    </row>
    <row r="424" spans="6:6" ht="15.75" customHeight="1" x14ac:dyDescent="0.25">
      <c r="F424" s="5"/>
    </row>
    <row r="425" spans="6:6" ht="15.75" customHeight="1" x14ac:dyDescent="0.25">
      <c r="F425" s="5"/>
    </row>
    <row r="426" spans="6:6" ht="15.75" customHeight="1" x14ac:dyDescent="0.25">
      <c r="F426" s="5"/>
    </row>
    <row r="427" spans="6:6" ht="15.75" customHeight="1" x14ac:dyDescent="0.25">
      <c r="F427" s="5"/>
    </row>
    <row r="428" spans="6:6" ht="15.75" customHeight="1" x14ac:dyDescent="0.25">
      <c r="F428" s="5"/>
    </row>
    <row r="429" spans="6:6" ht="15.75" customHeight="1" x14ac:dyDescent="0.25">
      <c r="F429" s="5"/>
    </row>
    <row r="430" spans="6:6" ht="15.75" customHeight="1" x14ac:dyDescent="0.25">
      <c r="F430" s="5"/>
    </row>
    <row r="431" spans="6:6" ht="15.75" customHeight="1" x14ac:dyDescent="0.25">
      <c r="F431" s="5"/>
    </row>
    <row r="432" spans="6:6" ht="15.75" customHeight="1" x14ac:dyDescent="0.25">
      <c r="F432" s="5"/>
    </row>
    <row r="433" spans="6:6" ht="15.75" customHeight="1" x14ac:dyDescent="0.25">
      <c r="F433" s="5"/>
    </row>
    <row r="434" spans="6:6" ht="15.75" customHeight="1" x14ac:dyDescent="0.25">
      <c r="F434" s="5"/>
    </row>
    <row r="435" spans="6:6" ht="15.75" customHeight="1" x14ac:dyDescent="0.25">
      <c r="F435" s="5"/>
    </row>
    <row r="436" spans="6:6" ht="15.75" customHeight="1" x14ac:dyDescent="0.25">
      <c r="F436" s="5"/>
    </row>
    <row r="437" spans="6:6" ht="15.75" customHeight="1" x14ac:dyDescent="0.25">
      <c r="F437" s="5"/>
    </row>
    <row r="438" spans="6:6" ht="15.75" customHeight="1" x14ac:dyDescent="0.25">
      <c r="F438" s="5"/>
    </row>
    <row r="439" spans="6:6" ht="15.75" customHeight="1" x14ac:dyDescent="0.25">
      <c r="F439" s="5"/>
    </row>
    <row r="440" spans="6:6" ht="15.75" customHeight="1" x14ac:dyDescent="0.25">
      <c r="F440" s="5"/>
    </row>
    <row r="441" spans="6:6" ht="15.75" customHeight="1" x14ac:dyDescent="0.25">
      <c r="F441" s="5"/>
    </row>
    <row r="442" spans="6:6" ht="15.75" customHeight="1" x14ac:dyDescent="0.25">
      <c r="F442" s="5"/>
    </row>
    <row r="443" spans="6:6" ht="15.75" customHeight="1" x14ac:dyDescent="0.25">
      <c r="F443" s="5"/>
    </row>
    <row r="444" spans="6:6" ht="15.75" customHeight="1" x14ac:dyDescent="0.25">
      <c r="F444" s="5"/>
    </row>
    <row r="445" spans="6:6" ht="15.75" customHeight="1" x14ac:dyDescent="0.25">
      <c r="F445" s="5"/>
    </row>
    <row r="446" spans="6:6" ht="15.75" customHeight="1" x14ac:dyDescent="0.25">
      <c r="F446" s="5"/>
    </row>
    <row r="447" spans="6:6" ht="15.75" customHeight="1" x14ac:dyDescent="0.25">
      <c r="F447" s="5"/>
    </row>
    <row r="448" spans="6:6" ht="15.75" customHeight="1" x14ac:dyDescent="0.25">
      <c r="F448" s="5"/>
    </row>
    <row r="449" spans="6:6" ht="15.75" customHeight="1" x14ac:dyDescent="0.25">
      <c r="F449" s="5"/>
    </row>
    <row r="450" spans="6:6" ht="15.75" customHeight="1" x14ac:dyDescent="0.25">
      <c r="F450" s="5"/>
    </row>
    <row r="451" spans="6:6" ht="15.75" customHeight="1" x14ac:dyDescent="0.25">
      <c r="F451" s="5"/>
    </row>
    <row r="452" spans="6:6" ht="15.75" customHeight="1" x14ac:dyDescent="0.25">
      <c r="F452" s="5"/>
    </row>
    <row r="453" spans="6:6" ht="15.75" customHeight="1" x14ac:dyDescent="0.25">
      <c r="F453" s="5"/>
    </row>
    <row r="454" spans="6:6" ht="15.75" customHeight="1" x14ac:dyDescent="0.25">
      <c r="F454" s="5"/>
    </row>
    <row r="455" spans="6:6" ht="15.75" customHeight="1" x14ac:dyDescent="0.25">
      <c r="F455" s="5"/>
    </row>
    <row r="456" spans="6:6" ht="15.75" customHeight="1" x14ac:dyDescent="0.25">
      <c r="F456" s="5"/>
    </row>
    <row r="457" spans="6:6" ht="15.75" customHeight="1" x14ac:dyDescent="0.25">
      <c r="F457" s="5"/>
    </row>
    <row r="458" spans="6:6" ht="15.75" customHeight="1" x14ac:dyDescent="0.25">
      <c r="F458" s="5"/>
    </row>
    <row r="459" spans="6:6" ht="15.75" customHeight="1" x14ac:dyDescent="0.25">
      <c r="F459" s="5"/>
    </row>
    <row r="460" spans="6:6" ht="15.75" customHeight="1" x14ac:dyDescent="0.25">
      <c r="F460" s="5"/>
    </row>
    <row r="461" spans="6:6" ht="15.75" customHeight="1" x14ac:dyDescent="0.25">
      <c r="F461" s="5"/>
    </row>
    <row r="462" spans="6:6" ht="15.75" customHeight="1" x14ac:dyDescent="0.25">
      <c r="F462" s="5"/>
    </row>
    <row r="463" spans="6:6" ht="15.75" customHeight="1" x14ac:dyDescent="0.25">
      <c r="F463" s="5"/>
    </row>
    <row r="464" spans="6:6" ht="15.75" customHeight="1" x14ac:dyDescent="0.25">
      <c r="F464" s="5"/>
    </row>
    <row r="465" spans="6:6" ht="15.75" customHeight="1" x14ac:dyDescent="0.25">
      <c r="F465" s="5"/>
    </row>
    <row r="466" spans="6:6" ht="15.75" customHeight="1" x14ac:dyDescent="0.25">
      <c r="F466" s="5"/>
    </row>
    <row r="467" spans="6:6" ht="15.75" customHeight="1" x14ac:dyDescent="0.25">
      <c r="F467" s="5"/>
    </row>
    <row r="468" spans="6:6" ht="15.75" customHeight="1" x14ac:dyDescent="0.25">
      <c r="F468" s="5"/>
    </row>
    <row r="469" spans="6:6" ht="15.75" customHeight="1" x14ac:dyDescent="0.25">
      <c r="F469" s="5"/>
    </row>
    <row r="470" spans="6:6" ht="15.75" customHeight="1" x14ac:dyDescent="0.25">
      <c r="F470" s="5"/>
    </row>
    <row r="471" spans="6:6" ht="15.75" customHeight="1" x14ac:dyDescent="0.25">
      <c r="F471" s="5"/>
    </row>
    <row r="472" spans="6:6" ht="15.75" customHeight="1" x14ac:dyDescent="0.25">
      <c r="F472" s="5"/>
    </row>
    <row r="473" spans="6:6" ht="15.75" customHeight="1" x14ac:dyDescent="0.25">
      <c r="F473" s="5"/>
    </row>
    <row r="474" spans="6:6" ht="15.75" customHeight="1" x14ac:dyDescent="0.25">
      <c r="F474" s="5"/>
    </row>
    <row r="475" spans="6:6" ht="15.75" customHeight="1" x14ac:dyDescent="0.25">
      <c r="F475" s="5"/>
    </row>
    <row r="476" spans="6:6" ht="15.75" customHeight="1" x14ac:dyDescent="0.25">
      <c r="F476" s="5"/>
    </row>
    <row r="477" spans="6:6" ht="15.75" customHeight="1" x14ac:dyDescent="0.25">
      <c r="F477" s="5"/>
    </row>
    <row r="478" spans="6:6" ht="15.75" customHeight="1" x14ac:dyDescent="0.25">
      <c r="F478" s="5"/>
    </row>
    <row r="479" spans="6:6" ht="15.75" customHeight="1" x14ac:dyDescent="0.25">
      <c r="F479" s="5"/>
    </row>
    <row r="480" spans="6:6" ht="15.75" customHeight="1" x14ac:dyDescent="0.25">
      <c r="F480" s="5"/>
    </row>
    <row r="481" spans="6:6" ht="15.75" customHeight="1" x14ac:dyDescent="0.25">
      <c r="F481" s="5"/>
    </row>
    <row r="482" spans="6:6" ht="15.75" customHeight="1" x14ac:dyDescent="0.25">
      <c r="F482" s="5"/>
    </row>
    <row r="483" spans="6:6" ht="15.75" customHeight="1" x14ac:dyDescent="0.25">
      <c r="F483" s="5"/>
    </row>
    <row r="484" spans="6:6" ht="15.75" customHeight="1" x14ac:dyDescent="0.25">
      <c r="F484" s="5"/>
    </row>
    <row r="485" spans="6:6" ht="15.75" customHeight="1" x14ac:dyDescent="0.25">
      <c r="F485" s="5"/>
    </row>
    <row r="486" spans="6:6" ht="15.75" customHeight="1" x14ac:dyDescent="0.25">
      <c r="F486" s="5"/>
    </row>
    <row r="487" spans="6:6" ht="15.75" customHeight="1" x14ac:dyDescent="0.25">
      <c r="F487" s="5"/>
    </row>
    <row r="488" spans="6:6" ht="15.75" customHeight="1" x14ac:dyDescent="0.25">
      <c r="F488" s="5"/>
    </row>
    <row r="489" spans="6:6" ht="15.75" customHeight="1" x14ac:dyDescent="0.25">
      <c r="F489" s="5"/>
    </row>
    <row r="490" spans="6:6" ht="15.75" customHeight="1" x14ac:dyDescent="0.25">
      <c r="F490" s="5"/>
    </row>
    <row r="491" spans="6:6" ht="15.75" customHeight="1" x14ac:dyDescent="0.25">
      <c r="F491" s="5"/>
    </row>
    <row r="492" spans="6:6" ht="15.75" customHeight="1" x14ac:dyDescent="0.25">
      <c r="F492" s="5"/>
    </row>
    <row r="493" spans="6:6" ht="15.75" customHeight="1" x14ac:dyDescent="0.25">
      <c r="F493" s="5"/>
    </row>
    <row r="494" spans="6:6" ht="15.75" customHeight="1" x14ac:dyDescent="0.25">
      <c r="F494" s="5"/>
    </row>
    <row r="495" spans="6:6" ht="15.75" customHeight="1" x14ac:dyDescent="0.25">
      <c r="F495" s="5"/>
    </row>
    <row r="496" spans="6:6" ht="15.75" customHeight="1" x14ac:dyDescent="0.25">
      <c r="F496" s="5"/>
    </row>
    <row r="497" spans="6:6" ht="15.75" customHeight="1" x14ac:dyDescent="0.25">
      <c r="F497" s="5"/>
    </row>
    <row r="498" spans="6:6" ht="15.75" customHeight="1" x14ac:dyDescent="0.25">
      <c r="F498" s="5"/>
    </row>
    <row r="499" spans="6:6" ht="15.75" customHeight="1" x14ac:dyDescent="0.25">
      <c r="F499" s="5"/>
    </row>
    <row r="500" spans="6:6" ht="15.75" customHeight="1" x14ac:dyDescent="0.25">
      <c r="F500" s="5"/>
    </row>
    <row r="501" spans="6:6" ht="15.75" customHeight="1" x14ac:dyDescent="0.25">
      <c r="F501" s="5"/>
    </row>
    <row r="502" spans="6:6" ht="15.75" customHeight="1" x14ac:dyDescent="0.25">
      <c r="F502" s="5"/>
    </row>
    <row r="503" spans="6:6" ht="15.75" customHeight="1" x14ac:dyDescent="0.25">
      <c r="F503" s="5"/>
    </row>
    <row r="504" spans="6:6" ht="15.75" customHeight="1" x14ac:dyDescent="0.25">
      <c r="F504" s="5"/>
    </row>
    <row r="505" spans="6:6" ht="15.75" customHeight="1" x14ac:dyDescent="0.25">
      <c r="F505" s="5"/>
    </row>
    <row r="506" spans="6:6" ht="15.75" customHeight="1" x14ac:dyDescent="0.25">
      <c r="F506" s="5"/>
    </row>
    <row r="507" spans="6:6" ht="15.75" customHeight="1" x14ac:dyDescent="0.25">
      <c r="F507" s="5"/>
    </row>
    <row r="508" spans="6:6" ht="15.75" customHeight="1" x14ac:dyDescent="0.25">
      <c r="F508" s="5"/>
    </row>
    <row r="509" spans="6:6" ht="15.75" customHeight="1" x14ac:dyDescent="0.25">
      <c r="F509" s="5"/>
    </row>
    <row r="510" spans="6:6" ht="15.75" customHeight="1" x14ac:dyDescent="0.25">
      <c r="F510" s="5"/>
    </row>
    <row r="511" spans="6:6" ht="15.75" customHeight="1" x14ac:dyDescent="0.25">
      <c r="F511" s="5"/>
    </row>
    <row r="512" spans="6:6" ht="15.75" customHeight="1" x14ac:dyDescent="0.25">
      <c r="F512" s="5"/>
    </row>
    <row r="513" spans="6:6" ht="15.75" customHeight="1" x14ac:dyDescent="0.25">
      <c r="F513" s="5"/>
    </row>
    <row r="514" spans="6:6" ht="15.75" customHeight="1" x14ac:dyDescent="0.25">
      <c r="F514" s="5"/>
    </row>
    <row r="515" spans="6:6" ht="15.75" customHeight="1" x14ac:dyDescent="0.25">
      <c r="F515" s="5"/>
    </row>
    <row r="516" spans="6:6" ht="15.75" customHeight="1" x14ac:dyDescent="0.25">
      <c r="F516" s="5"/>
    </row>
    <row r="517" spans="6:6" ht="15.75" customHeight="1" x14ac:dyDescent="0.25">
      <c r="F517" s="5"/>
    </row>
    <row r="518" spans="6:6" ht="15.75" customHeight="1" x14ac:dyDescent="0.25">
      <c r="F518" s="5"/>
    </row>
    <row r="519" spans="6:6" ht="15.75" customHeight="1" x14ac:dyDescent="0.25">
      <c r="F519" s="5"/>
    </row>
    <row r="520" spans="6:6" ht="15.75" customHeight="1" x14ac:dyDescent="0.25">
      <c r="F520" s="5"/>
    </row>
    <row r="521" spans="6:6" ht="15.75" customHeight="1" x14ac:dyDescent="0.25">
      <c r="F521" s="5"/>
    </row>
    <row r="522" spans="6:6" ht="15.75" customHeight="1" x14ac:dyDescent="0.25">
      <c r="F522" s="5"/>
    </row>
    <row r="523" spans="6:6" ht="15.75" customHeight="1" x14ac:dyDescent="0.25">
      <c r="F523" s="5"/>
    </row>
    <row r="524" spans="6:6" ht="15.75" customHeight="1" x14ac:dyDescent="0.25">
      <c r="F524" s="5"/>
    </row>
    <row r="525" spans="6:6" ht="15.75" customHeight="1" x14ac:dyDescent="0.25">
      <c r="F525" s="5"/>
    </row>
    <row r="526" spans="6:6" ht="15.75" customHeight="1" x14ac:dyDescent="0.25">
      <c r="F526" s="5"/>
    </row>
    <row r="527" spans="6:6" ht="15.75" customHeight="1" x14ac:dyDescent="0.25">
      <c r="F527" s="5"/>
    </row>
    <row r="528" spans="6:6" ht="15.75" customHeight="1" x14ac:dyDescent="0.25">
      <c r="F528" s="5"/>
    </row>
    <row r="529" spans="6:6" ht="15.75" customHeight="1" x14ac:dyDescent="0.25">
      <c r="F529" s="5"/>
    </row>
    <row r="530" spans="6:6" ht="15.75" customHeight="1" x14ac:dyDescent="0.25">
      <c r="F530" s="5"/>
    </row>
    <row r="531" spans="6:6" ht="15.75" customHeight="1" x14ac:dyDescent="0.25">
      <c r="F531" s="5"/>
    </row>
    <row r="532" spans="6:6" ht="15.75" customHeight="1" x14ac:dyDescent="0.25">
      <c r="F532" s="5"/>
    </row>
    <row r="533" spans="6:6" ht="15.75" customHeight="1" x14ac:dyDescent="0.25">
      <c r="F533" s="5"/>
    </row>
    <row r="534" spans="6:6" ht="15.75" customHeight="1" x14ac:dyDescent="0.25">
      <c r="F534" s="5"/>
    </row>
    <row r="535" spans="6:6" ht="15.75" customHeight="1" x14ac:dyDescent="0.25">
      <c r="F535" s="5"/>
    </row>
    <row r="536" spans="6:6" ht="15.75" customHeight="1" x14ac:dyDescent="0.25">
      <c r="F536" s="5"/>
    </row>
    <row r="537" spans="6:6" ht="15.75" customHeight="1" x14ac:dyDescent="0.25">
      <c r="F537" s="5"/>
    </row>
    <row r="538" spans="6:6" ht="15.75" customHeight="1" x14ac:dyDescent="0.25">
      <c r="F538" s="5"/>
    </row>
    <row r="539" spans="6:6" ht="15.75" customHeight="1" x14ac:dyDescent="0.25">
      <c r="F539" s="5"/>
    </row>
    <row r="540" spans="6:6" ht="15.75" customHeight="1" x14ac:dyDescent="0.25">
      <c r="F540" s="5"/>
    </row>
    <row r="541" spans="6:6" ht="15.75" customHeight="1" x14ac:dyDescent="0.25">
      <c r="F541" s="5"/>
    </row>
    <row r="542" spans="6:6" ht="15.75" customHeight="1" x14ac:dyDescent="0.25">
      <c r="F542" s="5"/>
    </row>
    <row r="543" spans="6:6" ht="15.75" customHeight="1" x14ac:dyDescent="0.25">
      <c r="F543" s="5"/>
    </row>
    <row r="544" spans="6:6" ht="15.75" customHeight="1" x14ac:dyDescent="0.25">
      <c r="F544" s="5"/>
    </row>
    <row r="545" spans="6:6" ht="15.75" customHeight="1" x14ac:dyDescent="0.25">
      <c r="F545" s="5"/>
    </row>
    <row r="546" spans="6:6" ht="15.75" customHeight="1" x14ac:dyDescent="0.25">
      <c r="F546" s="5"/>
    </row>
    <row r="547" spans="6:6" ht="15.75" customHeight="1" x14ac:dyDescent="0.25">
      <c r="F547" s="5"/>
    </row>
    <row r="548" spans="6:6" ht="15.75" customHeight="1" x14ac:dyDescent="0.25">
      <c r="F548" s="5"/>
    </row>
    <row r="549" spans="6:6" ht="15.75" customHeight="1" x14ac:dyDescent="0.25">
      <c r="F549" s="5"/>
    </row>
    <row r="550" spans="6:6" ht="15.75" customHeight="1" x14ac:dyDescent="0.25">
      <c r="F550" s="5"/>
    </row>
    <row r="551" spans="6:6" ht="15.75" customHeight="1" x14ac:dyDescent="0.25">
      <c r="F551" s="5"/>
    </row>
    <row r="552" spans="6:6" ht="15.75" customHeight="1" x14ac:dyDescent="0.25">
      <c r="F552" s="5"/>
    </row>
    <row r="553" spans="6:6" ht="15.75" customHeight="1" x14ac:dyDescent="0.25">
      <c r="F553" s="5"/>
    </row>
    <row r="554" spans="6:6" ht="15.75" customHeight="1" x14ac:dyDescent="0.25">
      <c r="F554" s="5"/>
    </row>
    <row r="555" spans="6:6" ht="15.75" customHeight="1" x14ac:dyDescent="0.25">
      <c r="F555" s="5"/>
    </row>
    <row r="556" spans="6:6" ht="15.75" customHeight="1" x14ac:dyDescent="0.25">
      <c r="F556" s="5"/>
    </row>
    <row r="557" spans="6:6" ht="15.75" customHeight="1" x14ac:dyDescent="0.25">
      <c r="F557" s="5"/>
    </row>
    <row r="558" spans="6:6" ht="15.75" customHeight="1" x14ac:dyDescent="0.25">
      <c r="F558" s="5"/>
    </row>
    <row r="559" spans="6:6" ht="15.75" customHeight="1" x14ac:dyDescent="0.25">
      <c r="F559" s="5"/>
    </row>
    <row r="560" spans="6:6" ht="15.75" customHeight="1" x14ac:dyDescent="0.25">
      <c r="F560" s="5"/>
    </row>
    <row r="561" spans="6:6" ht="15.75" customHeight="1" x14ac:dyDescent="0.25">
      <c r="F561" s="5"/>
    </row>
    <row r="562" spans="6:6" ht="15.75" customHeight="1" x14ac:dyDescent="0.25">
      <c r="F562" s="5"/>
    </row>
    <row r="563" spans="6:6" ht="15.75" customHeight="1" x14ac:dyDescent="0.25">
      <c r="F563" s="5"/>
    </row>
    <row r="564" spans="6:6" ht="15.75" customHeight="1" x14ac:dyDescent="0.25">
      <c r="F564" s="5"/>
    </row>
    <row r="565" spans="6:6" ht="15.75" customHeight="1" x14ac:dyDescent="0.25">
      <c r="F565" s="5"/>
    </row>
    <row r="566" spans="6:6" ht="15.75" customHeight="1" x14ac:dyDescent="0.25">
      <c r="F566" s="5"/>
    </row>
    <row r="567" spans="6:6" ht="15.75" customHeight="1" x14ac:dyDescent="0.25">
      <c r="F567" s="5"/>
    </row>
    <row r="568" spans="6:6" ht="15.75" customHeight="1" x14ac:dyDescent="0.25">
      <c r="F568" s="5"/>
    </row>
    <row r="569" spans="6:6" ht="15.75" customHeight="1" x14ac:dyDescent="0.25">
      <c r="F569" s="5"/>
    </row>
    <row r="570" spans="6:6" ht="15.75" customHeight="1" x14ac:dyDescent="0.25">
      <c r="F570" s="5"/>
    </row>
    <row r="571" spans="6:6" ht="15.75" customHeight="1" x14ac:dyDescent="0.25">
      <c r="F571" s="5"/>
    </row>
    <row r="572" spans="6:6" ht="15.75" customHeight="1" x14ac:dyDescent="0.25">
      <c r="F572" s="5"/>
    </row>
    <row r="573" spans="6:6" ht="15.75" customHeight="1" x14ac:dyDescent="0.25">
      <c r="F573" s="5"/>
    </row>
    <row r="574" spans="6:6" ht="15.75" customHeight="1" x14ac:dyDescent="0.25">
      <c r="F574" s="5"/>
    </row>
    <row r="575" spans="6:6" ht="15.75" customHeight="1" x14ac:dyDescent="0.25">
      <c r="F575" s="5"/>
    </row>
    <row r="576" spans="6:6" ht="15.75" customHeight="1" x14ac:dyDescent="0.25">
      <c r="F576" s="5"/>
    </row>
    <row r="577" spans="6:6" ht="15.75" customHeight="1" x14ac:dyDescent="0.25">
      <c r="F577" s="5"/>
    </row>
    <row r="578" spans="6:6" ht="15.75" customHeight="1" x14ac:dyDescent="0.25">
      <c r="F578" s="5"/>
    </row>
    <row r="579" spans="6:6" ht="15.75" customHeight="1" x14ac:dyDescent="0.25">
      <c r="F579" s="5"/>
    </row>
    <row r="580" spans="6:6" ht="15.75" customHeight="1" x14ac:dyDescent="0.25">
      <c r="F580" s="5"/>
    </row>
    <row r="581" spans="6:6" ht="15.75" customHeight="1" x14ac:dyDescent="0.25">
      <c r="F581" s="5"/>
    </row>
    <row r="582" spans="6:6" ht="15.75" customHeight="1" x14ac:dyDescent="0.25">
      <c r="F582" s="5"/>
    </row>
    <row r="583" spans="6:6" ht="15.75" customHeight="1" x14ac:dyDescent="0.25">
      <c r="F583" s="5"/>
    </row>
    <row r="584" spans="6:6" ht="15.75" customHeight="1" x14ac:dyDescent="0.25">
      <c r="F584" s="5"/>
    </row>
    <row r="585" spans="6:6" ht="15.75" customHeight="1" x14ac:dyDescent="0.25">
      <c r="F585" s="5"/>
    </row>
    <row r="586" spans="6:6" ht="15.75" customHeight="1" x14ac:dyDescent="0.25">
      <c r="F586" s="5"/>
    </row>
    <row r="587" spans="6:6" ht="15.75" customHeight="1" x14ac:dyDescent="0.25">
      <c r="F587" s="5"/>
    </row>
    <row r="588" spans="6:6" ht="15.75" customHeight="1" x14ac:dyDescent="0.25">
      <c r="F588" s="5"/>
    </row>
    <row r="589" spans="6:6" ht="15.75" customHeight="1" x14ac:dyDescent="0.25">
      <c r="F589" s="5"/>
    </row>
    <row r="590" spans="6:6" ht="15.75" customHeight="1" x14ac:dyDescent="0.25">
      <c r="F590" s="5"/>
    </row>
    <row r="591" spans="6:6" ht="15.75" customHeight="1" x14ac:dyDescent="0.25">
      <c r="F591" s="5"/>
    </row>
    <row r="592" spans="6:6" ht="15.75" customHeight="1" x14ac:dyDescent="0.25">
      <c r="F592" s="5"/>
    </row>
    <row r="593" spans="6:6" ht="15.75" customHeight="1" x14ac:dyDescent="0.25">
      <c r="F593" s="5"/>
    </row>
    <row r="594" spans="6:6" ht="15.75" customHeight="1" x14ac:dyDescent="0.25">
      <c r="F594" s="5"/>
    </row>
    <row r="595" spans="6:6" ht="15.75" customHeight="1" x14ac:dyDescent="0.25">
      <c r="F595" s="5"/>
    </row>
    <row r="596" spans="6:6" ht="15.75" customHeight="1" x14ac:dyDescent="0.25">
      <c r="F596" s="5"/>
    </row>
    <row r="597" spans="6:6" ht="15.75" customHeight="1" x14ac:dyDescent="0.25">
      <c r="F597" s="5"/>
    </row>
    <row r="598" spans="6:6" ht="15.75" customHeight="1" x14ac:dyDescent="0.25">
      <c r="F598" s="5"/>
    </row>
    <row r="599" spans="6:6" ht="15.75" customHeight="1" x14ac:dyDescent="0.25">
      <c r="F599" s="5"/>
    </row>
    <row r="600" spans="6:6" ht="15.75" customHeight="1" x14ac:dyDescent="0.25">
      <c r="F600" s="5"/>
    </row>
    <row r="601" spans="6:6" ht="15.75" customHeight="1" x14ac:dyDescent="0.25">
      <c r="F601" s="5"/>
    </row>
    <row r="602" spans="6:6" ht="15.75" customHeight="1" x14ac:dyDescent="0.25">
      <c r="F602" s="5"/>
    </row>
    <row r="603" spans="6:6" ht="15.75" customHeight="1" x14ac:dyDescent="0.25">
      <c r="F603" s="5"/>
    </row>
    <row r="604" spans="6:6" ht="15.75" customHeight="1" x14ac:dyDescent="0.25">
      <c r="F604" s="5"/>
    </row>
    <row r="605" spans="6:6" ht="15.75" customHeight="1" x14ac:dyDescent="0.25">
      <c r="F605" s="5"/>
    </row>
    <row r="606" spans="6:6" ht="15.75" customHeight="1" x14ac:dyDescent="0.25">
      <c r="F606" s="5"/>
    </row>
    <row r="607" spans="6:6" ht="15.75" customHeight="1" x14ac:dyDescent="0.25">
      <c r="F607" s="5"/>
    </row>
    <row r="608" spans="6:6" ht="15.75" customHeight="1" x14ac:dyDescent="0.25">
      <c r="F608" s="5"/>
    </row>
    <row r="609" spans="6:6" ht="15.75" customHeight="1" x14ac:dyDescent="0.25">
      <c r="F609" s="5"/>
    </row>
    <row r="610" spans="6:6" ht="15.75" customHeight="1" x14ac:dyDescent="0.25">
      <c r="F610" s="5"/>
    </row>
    <row r="611" spans="6:6" ht="15.75" customHeight="1" x14ac:dyDescent="0.25">
      <c r="F611" s="5"/>
    </row>
    <row r="612" spans="6:6" ht="15.75" customHeight="1" x14ac:dyDescent="0.25">
      <c r="F612" s="5"/>
    </row>
    <row r="613" spans="6:6" ht="15.75" customHeight="1" x14ac:dyDescent="0.25">
      <c r="F613" s="5"/>
    </row>
    <row r="614" spans="6:6" ht="15.75" customHeight="1" x14ac:dyDescent="0.25">
      <c r="F614" s="5"/>
    </row>
    <row r="615" spans="6:6" ht="15.75" customHeight="1" x14ac:dyDescent="0.25">
      <c r="F615" s="5"/>
    </row>
    <row r="616" spans="6:6" ht="15.75" customHeight="1" x14ac:dyDescent="0.25">
      <c r="F616" s="5"/>
    </row>
    <row r="617" spans="6:6" ht="15.75" customHeight="1" x14ac:dyDescent="0.25">
      <c r="F617" s="5"/>
    </row>
    <row r="618" spans="6:6" ht="15.75" customHeight="1" x14ac:dyDescent="0.25">
      <c r="F618" s="5"/>
    </row>
    <row r="619" spans="6:6" ht="15.75" customHeight="1" x14ac:dyDescent="0.25">
      <c r="F619" s="5"/>
    </row>
    <row r="620" spans="6:6" ht="15.75" customHeight="1" x14ac:dyDescent="0.25">
      <c r="F620" s="5"/>
    </row>
    <row r="621" spans="6:6" ht="15.75" customHeight="1" x14ac:dyDescent="0.25">
      <c r="F621" s="5"/>
    </row>
    <row r="622" spans="6:6" ht="15.75" customHeight="1" x14ac:dyDescent="0.25">
      <c r="F622" s="5"/>
    </row>
    <row r="623" spans="6:6" ht="15.75" customHeight="1" x14ac:dyDescent="0.25">
      <c r="F623" s="5"/>
    </row>
    <row r="624" spans="6:6" ht="15.75" customHeight="1" x14ac:dyDescent="0.25">
      <c r="F624" s="5"/>
    </row>
    <row r="625" spans="6:6" ht="15.75" customHeight="1" x14ac:dyDescent="0.25">
      <c r="F625" s="5"/>
    </row>
    <row r="626" spans="6:6" ht="15.75" customHeight="1" x14ac:dyDescent="0.25">
      <c r="F626" s="5"/>
    </row>
    <row r="627" spans="6:6" ht="15.75" customHeight="1" x14ac:dyDescent="0.25">
      <c r="F627" s="5"/>
    </row>
    <row r="628" spans="6:6" ht="15.75" customHeight="1" x14ac:dyDescent="0.25">
      <c r="F628" s="5"/>
    </row>
    <row r="629" spans="6:6" ht="15.75" customHeight="1" x14ac:dyDescent="0.25">
      <c r="F629" s="5"/>
    </row>
    <row r="630" spans="6:6" ht="15.75" customHeight="1" x14ac:dyDescent="0.25">
      <c r="F630" s="5"/>
    </row>
    <row r="631" spans="6:6" ht="15.75" customHeight="1" x14ac:dyDescent="0.25">
      <c r="F631" s="5"/>
    </row>
    <row r="632" spans="6:6" ht="15.75" customHeight="1" x14ac:dyDescent="0.25">
      <c r="F632" s="5"/>
    </row>
    <row r="633" spans="6:6" ht="15.75" customHeight="1" x14ac:dyDescent="0.25">
      <c r="F633" s="5"/>
    </row>
    <row r="634" spans="6:6" ht="15.75" customHeight="1" x14ac:dyDescent="0.25">
      <c r="F634" s="5"/>
    </row>
    <row r="635" spans="6:6" ht="15.75" customHeight="1" x14ac:dyDescent="0.25">
      <c r="F635" s="5"/>
    </row>
    <row r="636" spans="6:6" ht="15.75" customHeight="1" x14ac:dyDescent="0.25">
      <c r="F636" s="5"/>
    </row>
    <row r="637" spans="6:6" ht="15.75" customHeight="1" x14ac:dyDescent="0.25">
      <c r="F637" s="5"/>
    </row>
    <row r="638" spans="6:6" ht="15.75" customHeight="1" x14ac:dyDescent="0.25">
      <c r="F638" s="5"/>
    </row>
    <row r="639" spans="6:6" ht="15.75" customHeight="1" x14ac:dyDescent="0.25">
      <c r="F639" s="5"/>
    </row>
    <row r="640" spans="6:6" ht="15.75" customHeight="1" x14ac:dyDescent="0.25">
      <c r="F640" s="5"/>
    </row>
    <row r="641" spans="6:6" ht="15.75" customHeight="1" x14ac:dyDescent="0.25">
      <c r="F641" s="5"/>
    </row>
    <row r="642" spans="6:6" ht="15.75" customHeight="1" x14ac:dyDescent="0.25">
      <c r="F642" s="5"/>
    </row>
    <row r="643" spans="6:6" ht="15.75" customHeight="1" x14ac:dyDescent="0.25">
      <c r="F643" s="5"/>
    </row>
    <row r="644" spans="6:6" ht="15.75" customHeight="1" x14ac:dyDescent="0.25">
      <c r="F644" s="5"/>
    </row>
    <row r="645" spans="6:6" ht="15.75" customHeight="1" x14ac:dyDescent="0.25">
      <c r="F645" s="5"/>
    </row>
    <row r="646" spans="6:6" ht="15.75" customHeight="1" x14ac:dyDescent="0.25">
      <c r="F646" s="5"/>
    </row>
    <row r="647" spans="6:6" ht="15.75" customHeight="1" x14ac:dyDescent="0.25">
      <c r="F647" s="5"/>
    </row>
    <row r="648" spans="6:6" ht="15.75" customHeight="1" x14ac:dyDescent="0.25">
      <c r="F648" s="5"/>
    </row>
    <row r="649" spans="6:6" ht="15.75" customHeight="1" x14ac:dyDescent="0.25">
      <c r="F649" s="5"/>
    </row>
    <row r="650" spans="6:6" ht="15.75" customHeight="1" x14ac:dyDescent="0.25">
      <c r="F650" s="5"/>
    </row>
    <row r="651" spans="6:6" ht="15.75" customHeight="1" x14ac:dyDescent="0.25">
      <c r="F651" s="5"/>
    </row>
    <row r="652" spans="6:6" ht="15.75" customHeight="1" x14ac:dyDescent="0.25">
      <c r="F652" s="5"/>
    </row>
    <row r="653" spans="6:6" ht="15.75" customHeight="1" x14ac:dyDescent="0.25">
      <c r="F653" s="5"/>
    </row>
    <row r="654" spans="6:6" ht="15.75" customHeight="1" x14ac:dyDescent="0.25">
      <c r="F654" s="5"/>
    </row>
    <row r="655" spans="6:6" ht="15.75" customHeight="1" x14ac:dyDescent="0.25">
      <c r="F655" s="5"/>
    </row>
    <row r="656" spans="6:6" ht="15.75" customHeight="1" x14ac:dyDescent="0.25">
      <c r="F656" s="5"/>
    </row>
    <row r="657" spans="6:6" ht="15.75" customHeight="1" x14ac:dyDescent="0.25">
      <c r="F657" s="5"/>
    </row>
    <row r="658" spans="6:6" ht="15.75" customHeight="1" x14ac:dyDescent="0.25">
      <c r="F658" s="5"/>
    </row>
    <row r="659" spans="6:6" ht="15.75" customHeight="1" x14ac:dyDescent="0.25">
      <c r="F659" s="5"/>
    </row>
    <row r="660" spans="6:6" ht="15.75" customHeight="1" x14ac:dyDescent="0.25">
      <c r="F660" s="5"/>
    </row>
    <row r="661" spans="6:6" ht="15.75" customHeight="1" x14ac:dyDescent="0.25">
      <c r="F661" s="5"/>
    </row>
    <row r="662" spans="6:6" ht="15.75" customHeight="1" x14ac:dyDescent="0.25">
      <c r="F662" s="5"/>
    </row>
    <row r="663" spans="6:6" ht="15.75" customHeight="1" x14ac:dyDescent="0.25">
      <c r="F663" s="5"/>
    </row>
    <row r="664" spans="6:6" ht="15.75" customHeight="1" x14ac:dyDescent="0.25">
      <c r="F664" s="5"/>
    </row>
    <row r="665" spans="6:6" ht="15.75" customHeight="1" x14ac:dyDescent="0.25">
      <c r="F665" s="5"/>
    </row>
    <row r="666" spans="6:6" ht="15.75" customHeight="1" x14ac:dyDescent="0.25">
      <c r="F666" s="5"/>
    </row>
    <row r="667" spans="6:6" ht="15.75" customHeight="1" x14ac:dyDescent="0.25">
      <c r="F667" s="5"/>
    </row>
    <row r="668" spans="6:6" ht="15.75" customHeight="1" x14ac:dyDescent="0.25">
      <c r="F668" s="5"/>
    </row>
    <row r="669" spans="6:6" ht="15.75" customHeight="1" x14ac:dyDescent="0.25">
      <c r="F669" s="5"/>
    </row>
    <row r="670" spans="6:6" ht="15.75" customHeight="1" x14ac:dyDescent="0.25">
      <c r="F670" s="5"/>
    </row>
    <row r="671" spans="6:6" ht="15.75" customHeight="1" x14ac:dyDescent="0.25">
      <c r="F671" s="5"/>
    </row>
    <row r="672" spans="6:6" ht="15.75" customHeight="1" x14ac:dyDescent="0.25">
      <c r="F672" s="5"/>
    </row>
    <row r="673" spans="6:6" ht="15.75" customHeight="1" x14ac:dyDescent="0.25">
      <c r="F673" s="5"/>
    </row>
    <row r="674" spans="6:6" ht="15.75" customHeight="1" x14ac:dyDescent="0.25">
      <c r="F674" s="5"/>
    </row>
    <row r="675" spans="6:6" ht="15.75" customHeight="1" x14ac:dyDescent="0.25">
      <c r="F675" s="5"/>
    </row>
    <row r="676" spans="6:6" ht="15.75" customHeight="1" x14ac:dyDescent="0.25">
      <c r="F676" s="5"/>
    </row>
    <row r="677" spans="6:6" ht="15.75" customHeight="1" x14ac:dyDescent="0.25">
      <c r="F677" s="5"/>
    </row>
    <row r="678" spans="6:6" ht="15.75" customHeight="1" x14ac:dyDescent="0.25">
      <c r="F678" s="5"/>
    </row>
    <row r="679" spans="6:6" ht="15.75" customHeight="1" x14ac:dyDescent="0.25">
      <c r="F679" s="5"/>
    </row>
    <row r="680" spans="6:6" ht="15.75" customHeight="1" x14ac:dyDescent="0.25">
      <c r="F680" s="5"/>
    </row>
    <row r="681" spans="6:6" ht="15.75" customHeight="1" x14ac:dyDescent="0.25">
      <c r="F681" s="5"/>
    </row>
    <row r="682" spans="6:6" ht="15.75" customHeight="1" x14ac:dyDescent="0.25">
      <c r="F682" s="5"/>
    </row>
    <row r="683" spans="6:6" ht="15.75" customHeight="1" x14ac:dyDescent="0.25">
      <c r="F683" s="5"/>
    </row>
    <row r="684" spans="6:6" ht="15.75" customHeight="1" x14ac:dyDescent="0.25">
      <c r="F684" s="5"/>
    </row>
    <row r="685" spans="6:6" ht="15.75" customHeight="1" x14ac:dyDescent="0.25">
      <c r="F685" s="5"/>
    </row>
    <row r="686" spans="6:6" ht="15.75" customHeight="1" x14ac:dyDescent="0.25">
      <c r="F686" s="5"/>
    </row>
    <row r="687" spans="6:6" ht="15.75" customHeight="1" x14ac:dyDescent="0.25">
      <c r="F687" s="5"/>
    </row>
    <row r="688" spans="6:6" ht="15.75" customHeight="1" x14ac:dyDescent="0.25">
      <c r="F688" s="5"/>
    </row>
    <row r="689" spans="6:6" ht="15.75" customHeight="1" x14ac:dyDescent="0.25">
      <c r="F689" s="5"/>
    </row>
    <row r="690" spans="6:6" ht="15.75" customHeight="1" x14ac:dyDescent="0.25">
      <c r="F690" s="5"/>
    </row>
    <row r="691" spans="6:6" ht="15.75" customHeight="1" x14ac:dyDescent="0.25">
      <c r="F691" s="5"/>
    </row>
    <row r="692" spans="6:6" ht="15.75" customHeight="1" x14ac:dyDescent="0.25">
      <c r="F692" s="5"/>
    </row>
    <row r="693" spans="6:6" ht="15.75" customHeight="1" x14ac:dyDescent="0.25">
      <c r="F693" s="5"/>
    </row>
    <row r="694" spans="6:6" ht="15.75" customHeight="1" x14ac:dyDescent="0.25">
      <c r="F694" s="5"/>
    </row>
    <row r="695" spans="6:6" ht="15.75" customHeight="1" x14ac:dyDescent="0.25">
      <c r="F695" s="5"/>
    </row>
    <row r="696" spans="6:6" ht="15.75" customHeight="1" x14ac:dyDescent="0.25">
      <c r="F696" s="5"/>
    </row>
    <row r="697" spans="6:6" ht="15.75" customHeight="1" x14ac:dyDescent="0.25">
      <c r="F697" s="5"/>
    </row>
    <row r="698" spans="6:6" ht="15.75" customHeight="1" x14ac:dyDescent="0.25">
      <c r="F698" s="5"/>
    </row>
    <row r="699" spans="6:6" ht="15.75" customHeight="1" x14ac:dyDescent="0.25">
      <c r="F699" s="5"/>
    </row>
    <row r="700" spans="6:6" ht="15.75" customHeight="1" x14ac:dyDescent="0.25">
      <c r="F700" s="5"/>
    </row>
    <row r="701" spans="6:6" ht="15.75" customHeight="1" x14ac:dyDescent="0.25">
      <c r="F701" s="5"/>
    </row>
    <row r="702" spans="6:6" ht="15.75" customHeight="1" x14ac:dyDescent="0.25">
      <c r="F702" s="5"/>
    </row>
    <row r="703" spans="6:6" ht="15.75" customHeight="1" x14ac:dyDescent="0.25">
      <c r="F703" s="5"/>
    </row>
    <row r="704" spans="6:6" ht="15.75" customHeight="1" x14ac:dyDescent="0.25">
      <c r="F704" s="5"/>
    </row>
    <row r="705" spans="6:6" ht="15.75" customHeight="1" x14ac:dyDescent="0.25">
      <c r="F705" s="5"/>
    </row>
    <row r="706" spans="6:6" ht="15.75" customHeight="1" x14ac:dyDescent="0.25">
      <c r="F706" s="5"/>
    </row>
    <row r="707" spans="6:6" ht="15.75" customHeight="1" x14ac:dyDescent="0.25">
      <c r="F707" s="5"/>
    </row>
    <row r="708" spans="6:6" ht="15.75" customHeight="1" x14ac:dyDescent="0.25">
      <c r="F708" s="5"/>
    </row>
    <row r="709" spans="6:6" ht="15.75" customHeight="1" x14ac:dyDescent="0.25">
      <c r="F709" s="5"/>
    </row>
    <row r="710" spans="6:6" ht="15.75" customHeight="1" x14ac:dyDescent="0.25">
      <c r="F710" s="5"/>
    </row>
    <row r="711" spans="6:6" ht="15.75" customHeight="1" x14ac:dyDescent="0.25">
      <c r="F711" s="5"/>
    </row>
    <row r="712" spans="6:6" ht="15.75" customHeight="1" x14ac:dyDescent="0.25">
      <c r="F712" s="5"/>
    </row>
    <row r="713" spans="6:6" ht="15.75" customHeight="1" x14ac:dyDescent="0.25">
      <c r="F713" s="5"/>
    </row>
    <row r="714" spans="6:6" ht="15.75" customHeight="1" x14ac:dyDescent="0.25">
      <c r="F714" s="5"/>
    </row>
    <row r="715" spans="6:6" ht="15.75" customHeight="1" x14ac:dyDescent="0.25">
      <c r="F715" s="5"/>
    </row>
    <row r="716" spans="6:6" ht="15.75" customHeight="1" x14ac:dyDescent="0.25">
      <c r="F716" s="5"/>
    </row>
    <row r="717" spans="6:6" ht="15.75" customHeight="1" x14ac:dyDescent="0.25">
      <c r="F717" s="5"/>
    </row>
    <row r="718" spans="6:6" ht="15.75" customHeight="1" x14ac:dyDescent="0.25">
      <c r="F718" s="5"/>
    </row>
    <row r="719" spans="6:6" ht="15.75" customHeight="1" x14ac:dyDescent="0.25">
      <c r="F719" s="5"/>
    </row>
    <row r="720" spans="6:6" ht="15.75" customHeight="1" x14ac:dyDescent="0.25">
      <c r="F720" s="5"/>
    </row>
    <row r="721" spans="6:6" ht="15.75" customHeight="1" x14ac:dyDescent="0.25">
      <c r="F721" s="5"/>
    </row>
    <row r="722" spans="6:6" ht="15.75" customHeight="1" x14ac:dyDescent="0.25">
      <c r="F722" s="5"/>
    </row>
    <row r="723" spans="6:6" ht="15.75" customHeight="1" x14ac:dyDescent="0.25">
      <c r="F723" s="5"/>
    </row>
    <row r="724" spans="6:6" ht="15.75" customHeight="1" x14ac:dyDescent="0.25">
      <c r="F724" s="5"/>
    </row>
    <row r="725" spans="6:6" ht="15.75" customHeight="1" x14ac:dyDescent="0.25">
      <c r="F725" s="5"/>
    </row>
    <row r="726" spans="6:6" ht="15.75" customHeight="1" x14ac:dyDescent="0.25">
      <c r="F726" s="5"/>
    </row>
    <row r="727" spans="6:6" ht="15.75" customHeight="1" x14ac:dyDescent="0.25">
      <c r="F727" s="5"/>
    </row>
    <row r="728" spans="6:6" ht="15.75" customHeight="1" x14ac:dyDescent="0.25">
      <c r="F728" s="5"/>
    </row>
    <row r="729" spans="6:6" ht="15.75" customHeight="1" x14ac:dyDescent="0.25">
      <c r="F729" s="5"/>
    </row>
    <row r="730" spans="6:6" ht="15.75" customHeight="1" x14ac:dyDescent="0.25">
      <c r="F730" s="5"/>
    </row>
    <row r="731" spans="6:6" ht="15.75" customHeight="1" x14ac:dyDescent="0.25">
      <c r="F731" s="5"/>
    </row>
    <row r="732" spans="6:6" ht="15.75" customHeight="1" x14ac:dyDescent="0.25">
      <c r="F732" s="5"/>
    </row>
    <row r="733" spans="6:6" ht="15.75" customHeight="1" x14ac:dyDescent="0.25">
      <c r="F733" s="5"/>
    </row>
    <row r="734" spans="6:6" ht="15.75" customHeight="1" x14ac:dyDescent="0.25">
      <c r="F734" s="5"/>
    </row>
    <row r="735" spans="6:6" ht="15.75" customHeight="1" x14ac:dyDescent="0.25">
      <c r="F735" s="5"/>
    </row>
    <row r="736" spans="6:6" ht="15.75" customHeight="1" x14ac:dyDescent="0.25">
      <c r="F736" s="5"/>
    </row>
    <row r="737" spans="6:6" ht="15.75" customHeight="1" x14ac:dyDescent="0.25">
      <c r="F737" s="5"/>
    </row>
    <row r="738" spans="6:6" ht="15.75" customHeight="1" x14ac:dyDescent="0.25">
      <c r="F738" s="5"/>
    </row>
    <row r="739" spans="6:6" ht="15.75" customHeight="1" x14ac:dyDescent="0.25">
      <c r="F739" s="5"/>
    </row>
    <row r="740" spans="6:6" ht="15.75" customHeight="1" x14ac:dyDescent="0.25">
      <c r="F740" s="5"/>
    </row>
    <row r="741" spans="6:6" ht="15.75" customHeight="1" x14ac:dyDescent="0.25">
      <c r="F741" s="5"/>
    </row>
    <row r="742" spans="6:6" ht="15.75" customHeight="1" x14ac:dyDescent="0.25">
      <c r="F742" s="5"/>
    </row>
    <row r="743" spans="6:6" ht="15.75" customHeight="1" x14ac:dyDescent="0.25">
      <c r="F743" s="5"/>
    </row>
    <row r="744" spans="6:6" ht="15.75" customHeight="1" x14ac:dyDescent="0.25">
      <c r="F744" s="5"/>
    </row>
    <row r="745" spans="6:6" ht="15.75" customHeight="1" x14ac:dyDescent="0.25">
      <c r="F745" s="5"/>
    </row>
    <row r="746" spans="6:6" ht="15.75" customHeight="1" x14ac:dyDescent="0.25">
      <c r="F746" s="5"/>
    </row>
    <row r="747" spans="6:6" ht="15.75" customHeight="1" x14ac:dyDescent="0.25">
      <c r="F747" s="5"/>
    </row>
    <row r="748" spans="6:6" ht="15.75" customHeight="1" x14ac:dyDescent="0.25">
      <c r="F748" s="5"/>
    </row>
    <row r="749" spans="6:6" ht="15.75" customHeight="1" x14ac:dyDescent="0.25">
      <c r="F749" s="5"/>
    </row>
    <row r="750" spans="6:6" ht="15.75" customHeight="1" x14ac:dyDescent="0.25">
      <c r="F750" s="5"/>
    </row>
    <row r="751" spans="6:6" ht="15.75" customHeight="1" x14ac:dyDescent="0.25">
      <c r="F751" s="5"/>
    </row>
    <row r="752" spans="6:6" ht="15.75" customHeight="1" x14ac:dyDescent="0.25">
      <c r="F752" s="5"/>
    </row>
    <row r="753" spans="6:6" ht="15.75" customHeight="1" x14ac:dyDescent="0.25">
      <c r="F753" s="5"/>
    </row>
    <row r="754" spans="6:6" ht="15.75" customHeight="1" x14ac:dyDescent="0.25">
      <c r="F754" s="5"/>
    </row>
    <row r="755" spans="6:6" ht="15.75" customHeight="1" x14ac:dyDescent="0.25">
      <c r="F755" s="5"/>
    </row>
    <row r="756" spans="6:6" ht="15.75" customHeight="1" x14ac:dyDescent="0.25">
      <c r="F756" s="5"/>
    </row>
    <row r="757" spans="6:6" ht="15.75" customHeight="1" x14ac:dyDescent="0.25">
      <c r="F757" s="5"/>
    </row>
    <row r="758" spans="6:6" ht="15.75" customHeight="1" x14ac:dyDescent="0.25">
      <c r="F758" s="5"/>
    </row>
    <row r="759" spans="6:6" ht="15.75" customHeight="1" x14ac:dyDescent="0.25">
      <c r="F759" s="5"/>
    </row>
    <row r="760" spans="6:6" ht="15.75" customHeight="1" x14ac:dyDescent="0.25">
      <c r="F760" s="5"/>
    </row>
    <row r="761" spans="6:6" ht="15.75" customHeight="1" x14ac:dyDescent="0.25">
      <c r="F761" s="5"/>
    </row>
    <row r="762" spans="6:6" ht="15.75" customHeight="1" x14ac:dyDescent="0.25">
      <c r="F762" s="5"/>
    </row>
    <row r="763" spans="6:6" ht="15.75" customHeight="1" x14ac:dyDescent="0.25">
      <c r="F763" s="5"/>
    </row>
    <row r="764" spans="6:6" ht="15.75" customHeight="1" x14ac:dyDescent="0.25">
      <c r="F764" s="5"/>
    </row>
    <row r="765" spans="6:6" ht="15.75" customHeight="1" x14ac:dyDescent="0.25">
      <c r="F765" s="5"/>
    </row>
    <row r="766" spans="6:6" ht="15.75" customHeight="1" x14ac:dyDescent="0.25">
      <c r="F766" s="5"/>
    </row>
    <row r="767" spans="6:6" ht="15.75" customHeight="1" x14ac:dyDescent="0.25">
      <c r="F767" s="5"/>
    </row>
    <row r="768" spans="6:6" ht="15.75" customHeight="1" x14ac:dyDescent="0.25">
      <c r="F768" s="5"/>
    </row>
    <row r="769" spans="6:6" ht="15.75" customHeight="1" x14ac:dyDescent="0.25">
      <c r="F769" s="5"/>
    </row>
    <row r="770" spans="6:6" ht="15.75" customHeight="1" x14ac:dyDescent="0.25">
      <c r="F770" s="5"/>
    </row>
    <row r="771" spans="6:6" ht="15.75" customHeight="1" x14ac:dyDescent="0.25">
      <c r="F771" s="5"/>
    </row>
    <row r="772" spans="6:6" ht="15.75" customHeight="1" x14ac:dyDescent="0.25">
      <c r="F772" s="5"/>
    </row>
    <row r="773" spans="6:6" ht="15.75" customHeight="1" x14ac:dyDescent="0.25">
      <c r="F773" s="5"/>
    </row>
    <row r="774" spans="6:6" ht="15.75" customHeight="1" x14ac:dyDescent="0.25">
      <c r="F774" s="5"/>
    </row>
    <row r="775" spans="6:6" ht="15.75" customHeight="1" x14ac:dyDescent="0.25">
      <c r="F775" s="5"/>
    </row>
    <row r="776" spans="6:6" ht="15.75" customHeight="1" x14ac:dyDescent="0.25">
      <c r="F776" s="5"/>
    </row>
    <row r="777" spans="6:6" ht="15.75" customHeight="1" x14ac:dyDescent="0.25">
      <c r="F777" s="5"/>
    </row>
    <row r="778" spans="6:6" ht="15.75" customHeight="1" x14ac:dyDescent="0.25">
      <c r="F778" s="5"/>
    </row>
    <row r="779" spans="6:6" ht="15.75" customHeight="1" x14ac:dyDescent="0.25">
      <c r="F779" s="5"/>
    </row>
    <row r="780" spans="6:6" ht="15.75" customHeight="1" x14ac:dyDescent="0.25">
      <c r="F780" s="5"/>
    </row>
    <row r="781" spans="6:6" ht="15.75" customHeight="1" x14ac:dyDescent="0.25">
      <c r="F781" s="5"/>
    </row>
    <row r="782" spans="6:6" ht="15.75" customHeight="1" x14ac:dyDescent="0.25">
      <c r="F782" s="5"/>
    </row>
    <row r="783" spans="6:6" ht="15.75" customHeight="1" x14ac:dyDescent="0.25">
      <c r="F783" s="5"/>
    </row>
    <row r="784" spans="6:6" ht="15.75" customHeight="1" x14ac:dyDescent="0.25">
      <c r="F784" s="5"/>
    </row>
    <row r="785" spans="6:6" ht="15.75" customHeight="1" x14ac:dyDescent="0.25">
      <c r="F785" s="5"/>
    </row>
    <row r="786" spans="6:6" ht="15.75" customHeight="1" x14ac:dyDescent="0.25">
      <c r="F786" s="5"/>
    </row>
    <row r="787" spans="6:6" ht="15.75" customHeight="1" x14ac:dyDescent="0.25">
      <c r="F787" s="5"/>
    </row>
    <row r="788" spans="6:6" ht="15.75" customHeight="1" x14ac:dyDescent="0.25">
      <c r="F788" s="5"/>
    </row>
    <row r="789" spans="6:6" ht="15.75" customHeight="1" x14ac:dyDescent="0.25">
      <c r="F789" s="5"/>
    </row>
    <row r="790" spans="6:6" ht="15.75" customHeight="1" x14ac:dyDescent="0.25">
      <c r="F790" s="5"/>
    </row>
    <row r="791" spans="6:6" ht="15.75" customHeight="1" x14ac:dyDescent="0.25">
      <c r="F791" s="5"/>
    </row>
    <row r="792" spans="6:6" ht="15.75" customHeight="1" x14ac:dyDescent="0.25">
      <c r="F792" s="5"/>
    </row>
    <row r="793" spans="6:6" ht="15.75" customHeight="1" x14ac:dyDescent="0.25">
      <c r="F793" s="5"/>
    </row>
    <row r="794" spans="6:6" ht="15.75" customHeight="1" x14ac:dyDescent="0.25">
      <c r="F794" s="5"/>
    </row>
    <row r="795" spans="6:6" ht="15.75" customHeight="1" x14ac:dyDescent="0.25">
      <c r="F795" s="5"/>
    </row>
    <row r="796" spans="6:6" ht="15.75" customHeight="1" x14ac:dyDescent="0.25">
      <c r="F796" s="5"/>
    </row>
    <row r="797" spans="6:6" ht="15.75" customHeight="1" x14ac:dyDescent="0.25">
      <c r="F797" s="5"/>
    </row>
    <row r="798" spans="6:6" ht="15.75" customHeight="1" x14ac:dyDescent="0.25">
      <c r="F798" s="5"/>
    </row>
    <row r="799" spans="6:6" ht="15.75" customHeight="1" x14ac:dyDescent="0.25">
      <c r="F799" s="5"/>
    </row>
    <row r="800" spans="6:6" ht="15.75" customHeight="1" x14ac:dyDescent="0.25">
      <c r="F800" s="5"/>
    </row>
    <row r="801" spans="6:6" ht="15.75" customHeight="1" x14ac:dyDescent="0.25">
      <c r="F801" s="5"/>
    </row>
    <row r="802" spans="6:6" ht="15.75" customHeight="1" x14ac:dyDescent="0.25">
      <c r="F802" s="5"/>
    </row>
    <row r="803" spans="6:6" ht="15.75" customHeight="1" x14ac:dyDescent="0.25">
      <c r="F803" s="5"/>
    </row>
    <row r="804" spans="6:6" ht="15.75" customHeight="1" x14ac:dyDescent="0.25">
      <c r="F804" s="5"/>
    </row>
    <row r="805" spans="6:6" ht="15.75" customHeight="1" x14ac:dyDescent="0.25">
      <c r="F805" s="5"/>
    </row>
    <row r="806" spans="6:6" ht="15.75" customHeight="1" x14ac:dyDescent="0.25">
      <c r="F806" s="5"/>
    </row>
    <row r="807" spans="6:6" ht="15.75" customHeight="1" x14ac:dyDescent="0.25">
      <c r="F807" s="5"/>
    </row>
    <row r="808" spans="6:6" ht="15.75" customHeight="1" x14ac:dyDescent="0.25">
      <c r="F808" s="5"/>
    </row>
    <row r="809" spans="6:6" ht="15.75" customHeight="1" x14ac:dyDescent="0.25">
      <c r="F809" s="5"/>
    </row>
    <row r="810" spans="6:6" ht="15.75" customHeight="1" x14ac:dyDescent="0.25">
      <c r="F810" s="5"/>
    </row>
    <row r="811" spans="6:6" ht="15.75" customHeight="1" x14ac:dyDescent="0.25">
      <c r="F811" s="5"/>
    </row>
    <row r="812" spans="6:6" ht="15.75" customHeight="1" x14ac:dyDescent="0.25">
      <c r="F812" s="5"/>
    </row>
    <row r="813" spans="6:6" ht="15.75" customHeight="1" x14ac:dyDescent="0.25">
      <c r="F813" s="5"/>
    </row>
    <row r="814" spans="6:6" ht="15.75" customHeight="1" x14ac:dyDescent="0.25">
      <c r="F814" s="5"/>
    </row>
    <row r="815" spans="6:6" ht="15.75" customHeight="1" x14ac:dyDescent="0.25">
      <c r="F815" s="5"/>
    </row>
    <row r="816" spans="6:6" ht="15.75" customHeight="1" x14ac:dyDescent="0.25">
      <c r="F816" s="5"/>
    </row>
    <row r="817" spans="6:6" ht="15.75" customHeight="1" x14ac:dyDescent="0.25">
      <c r="F817" s="5"/>
    </row>
    <row r="818" spans="6:6" ht="15.75" customHeight="1" x14ac:dyDescent="0.25">
      <c r="F818" s="5"/>
    </row>
    <row r="819" spans="6:6" ht="15.75" customHeight="1" x14ac:dyDescent="0.25">
      <c r="F819" s="5"/>
    </row>
    <row r="820" spans="6:6" ht="15.75" customHeight="1" x14ac:dyDescent="0.25">
      <c r="F820" s="5"/>
    </row>
    <row r="821" spans="6:6" ht="15.75" customHeight="1" x14ac:dyDescent="0.25">
      <c r="F821" s="5"/>
    </row>
    <row r="822" spans="6:6" ht="15.75" customHeight="1" x14ac:dyDescent="0.25">
      <c r="F822" s="5"/>
    </row>
    <row r="823" spans="6:6" ht="15.75" customHeight="1" x14ac:dyDescent="0.25">
      <c r="F823" s="5"/>
    </row>
    <row r="824" spans="6:6" ht="15.75" customHeight="1" x14ac:dyDescent="0.25">
      <c r="F824" s="5"/>
    </row>
    <row r="825" spans="6:6" ht="15.75" customHeight="1" x14ac:dyDescent="0.25">
      <c r="F825" s="5"/>
    </row>
    <row r="826" spans="6:6" ht="15.75" customHeight="1" x14ac:dyDescent="0.25">
      <c r="F826" s="5"/>
    </row>
    <row r="827" spans="6:6" ht="15.75" customHeight="1" x14ac:dyDescent="0.25">
      <c r="F827" s="5"/>
    </row>
    <row r="828" spans="6:6" ht="15.75" customHeight="1" x14ac:dyDescent="0.25">
      <c r="F828" s="5"/>
    </row>
    <row r="829" spans="6:6" ht="15.75" customHeight="1" x14ac:dyDescent="0.25">
      <c r="F829" s="5"/>
    </row>
    <row r="830" spans="6:6" ht="15.75" customHeight="1" x14ac:dyDescent="0.25">
      <c r="F830" s="5"/>
    </row>
    <row r="831" spans="6:6" ht="15.75" customHeight="1" x14ac:dyDescent="0.25">
      <c r="F831" s="5"/>
    </row>
    <row r="832" spans="6:6" ht="15.75" customHeight="1" x14ac:dyDescent="0.25">
      <c r="F832" s="5"/>
    </row>
    <row r="833" spans="6:6" ht="15.75" customHeight="1" x14ac:dyDescent="0.25">
      <c r="F833" s="5"/>
    </row>
    <row r="834" spans="6:6" ht="15.75" customHeight="1" x14ac:dyDescent="0.25">
      <c r="F834" s="5"/>
    </row>
    <row r="835" spans="6:6" ht="15.75" customHeight="1" x14ac:dyDescent="0.25">
      <c r="F835" s="5"/>
    </row>
    <row r="836" spans="6:6" ht="15.75" customHeight="1" x14ac:dyDescent="0.25">
      <c r="F836" s="5"/>
    </row>
    <row r="837" spans="6:6" ht="15.75" customHeight="1" x14ac:dyDescent="0.25">
      <c r="F837" s="5"/>
    </row>
    <row r="838" spans="6:6" ht="15.75" customHeight="1" x14ac:dyDescent="0.25">
      <c r="F838" s="5"/>
    </row>
    <row r="839" spans="6:6" ht="15.75" customHeight="1" x14ac:dyDescent="0.25">
      <c r="F839" s="5"/>
    </row>
    <row r="840" spans="6:6" ht="15.75" customHeight="1" x14ac:dyDescent="0.25">
      <c r="F840" s="5"/>
    </row>
    <row r="841" spans="6:6" ht="15.75" customHeight="1" x14ac:dyDescent="0.25">
      <c r="F841" s="5"/>
    </row>
    <row r="842" spans="6:6" ht="15.75" customHeight="1" x14ac:dyDescent="0.25">
      <c r="F842" s="5"/>
    </row>
    <row r="843" spans="6:6" ht="15.75" customHeight="1" x14ac:dyDescent="0.25">
      <c r="F843" s="5"/>
    </row>
    <row r="844" spans="6:6" ht="15.75" customHeight="1" x14ac:dyDescent="0.25">
      <c r="F844" s="5"/>
    </row>
    <row r="845" spans="6:6" ht="15.75" customHeight="1" x14ac:dyDescent="0.25">
      <c r="F845" s="5"/>
    </row>
    <row r="846" spans="6:6" ht="15.75" customHeight="1" x14ac:dyDescent="0.25">
      <c r="F846" s="5"/>
    </row>
    <row r="847" spans="6:6" ht="15.75" customHeight="1" x14ac:dyDescent="0.25">
      <c r="F847" s="5"/>
    </row>
    <row r="848" spans="6:6" ht="15.75" customHeight="1" x14ac:dyDescent="0.25">
      <c r="F848" s="5"/>
    </row>
    <row r="849" spans="6:6" ht="15.75" customHeight="1" x14ac:dyDescent="0.25">
      <c r="F849" s="5"/>
    </row>
    <row r="850" spans="6:6" ht="15.75" customHeight="1" x14ac:dyDescent="0.25">
      <c r="F850" s="5"/>
    </row>
    <row r="851" spans="6:6" ht="15.75" customHeight="1" x14ac:dyDescent="0.25">
      <c r="F851" s="5"/>
    </row>
    <row r="852" spans="6:6" ht="15.75" customHeight="1" x14ac:dyDescent="0.25">
      <c r="F852" s="5"/>
    </row>
    <row r="853" spans="6:6" ht="15.75" customHeight="1" x14ac:dyDescent="0.25">
      <c r="F853" s="5"/>
    </row>
    <row r="854" spans="6:6" ht="15.75" customHeight="1" x14ac:dyDescent="0.25">
      <c r="F854" s="5"/>
    </row>
    <row r="855" spans="6:6" ht="15.75" customHeight="1" x14ac:dyDescent="0.25">
      <c r="F855" s="5"/>
    </row>
    <row r="856" spans="6:6" ht="15.75" customHeight="1" x14ac:dyDescent="0.25">
      <c r="F856" s="5"/>
    </row>
    <row r="857" spans="6:6" ht="15.75" customHeight="1" x14ac:dyDescent="0.25">
      <c r="F857" s="5"/>
    </row>
    <row r="858" spans="6:6" ht="15.75" customHeight="1" x14ac:dyDescent="0.25">
      <c r="F858" s="5"/>
    </row>
    <row r="859" spans="6:6" ht="15.75" customHeight="1" x14ac:dyDescent="0.25">
      <c r="F859" s="5"/>
    </row>
    <row r="860" spans="6:6" ht="15.75" customHeight="1" x14ac:dyDescent="0.25">
      <c r="F860" s="5"/>
    </row>
    <row r="861" spans="6:6" ht="15.75" customHeight="1" x14ac:dyDescent="0.25">
      <c r="F861" s="5"/>
    </row>
    <row r="862" spans="6:6" ht="15.75" customHeight="1" x14ac:dyDescent="0.25">
      <c r="F862" s="5"/>
    </row>
    <row r="863" spans="6:6" ht="15.75" customHeight="1" x14ac:dyDescent="0.25">
      <c r="F863" s="5"/>
    </row>
    <row r="864" spans="6:6" ht="15.75" customHeight="1" x14ac:dyDescent="0.25">
      <c r="F864" s="5"/>
    </row>
    <row r="865" spans="6:6" ht="15.75" customHeight="1" x14ac:dyDescent="0.25">
      <c r="F865" s="5"/>
    </row>
    <row r="866" spans="6:6" ht="15.75" customHeight="1" x14ac:dyDescent="0.25">
      <c r="F866" s="5"/>
    </row>
    <row r="867" spans="6:6" ht="15.75" customHeight="1" x14ac:dyDescent="0.25">
      <c r="F867" s="5"/>
    </row>
    <row r="868" spans="6:6" ht="15.75" customHeight="1" x14ac:dyDescent="0.25">
      <c r="F868" s="5"/>
    </row>
    <row r="869" spans="6:6" ht="15.75" customHeight="1" x14ac:dyDescent="0.25">
      <c r="F869" s="5"/>
    </row>
    <row r="870" spans="6:6" ht="15.75" customHeight="1" x14ac:dyDescent="0.25">
      <c r="F870" s="5"/>
    </row>
    <row r="871" spans="6:6" ht="15.75" customHeight="1" x14ac:dyDescent="0.25">
      <c r="F871" s="5"/>
    </row>
    <row r="872" spans="6:6" ht="15.75" customHeight="1" x14ac:dyDescent="0.25">
      <c r="F872" s="5"/>
    </row>
    <row r="873" spans="6:6" ht="15.75" customHeight="1" x14ac:dyDescent="0.25">
      <c r="F873" s="5"/>
    </row>
    <row r="874" spans="6:6" ht="15.75" customHeight="1" x14ac:dyDescent="0.25">
      <c r="F874" s="5"/>
    </row>
    <row r="875" spans="6:6" ht="15.75" customHeight="1" x14ac:dyDescent="0.25">
      <c r="F875" s="5"/>
    </row>
    <row r="876" spans="6:6" ht="15.75" customHeight="1" x14ac:dyDescent="0.25">
      <c r="F876" s="5"/>
    </row>
    <row r="877" spans="6:6" ht="15.75" customHeight="1" x14ac:dyDescent="0.25">
      <c r="F877" s="5"/>
    </row>
    <row r="878" spans="6:6" ht="15.75" customHeight="1" x14ac:dyDescent="0.25">
      <c r="F878" s="5"/>
    </row>
    <row r="879" spans="6:6" ht="15.75" customHeight="1" x14ac:dyDescent="0.25">
      <c r="F879" s="5"/>
    </row>
    <row r="880" spans="6:6" ht="15.75" customHeight="1" x14ac:dyDescent="0.25">
      <c r="F880" s="5"/>
    </row>
    <row r="881" spans="6:6" ht="15.75" customHeight="1" x14ac:dyDescent="0.25">
      <c r="F881" s="5"/>
    </row>
    <row r="882" spans="6:6" ht="15.75" customHeight="1" x14ac:dyDescent="0.25">
      <c r="F882" s="5"/>
    </row>
    <row r="883" spans="6:6" ht="15.75" customHeight="1" x14ac:dyDescent="0.25">
      <c r="F883" s="5"/>
    </row>
    <row r="884" spans="6:6" ht="15.75" customHeight="1" x14ac:dyDescent="0.25">
      <c r="F884" s="5"/>
    </row>
    <row r="885" spans="6:6" ht="15.75" customHeight="1" x14ac:dyDescent="0.25">
      <c r="F885" s="5"/>
    </row>
    <row r="886" spans="6:6" ht="15.75" customHeight="1" x14ac:dyDescent="0.25">
      <c r="F886" s="5"/>
    </row>
    <row r="887" spans="6:6" ht="15.75" customHeight="1" x14ac:dyDescent="0.25">
      <c r="F887" s="5"/>
    </row>
    <row r="888" spans="6:6" ht="15.75" customHeight="1" x14ac:dyDescent="0.25">
      <c r="F888" s="5"/>
    </row>
    <row r="889" spans="6:6" ht="15.75" customHeight="1" x14ac:dyDescent="0.25">
      <c r="F889" s="5"/>
    </row>
    <row r="890" spans="6:6" ht="15.75" customHeight="1" x14ac:dyDescent="0.25">
      <c r="F890" s="5"/>
    </row>
    <row r="891" spans="6:6" ht="15.75" customHeight="1" x14ac:dyDescent="0.25">
      <c r="F891" s="5"/>
    </row>
    <row r="892" spans="6:6" ht="15.75" customHeight="1" x14ac:dyDescent="0.25">
      <c r="F892" s="5"/>
    </row>
    <row r="893" spans="6:6" ht="15.75" customHeight="1" x14ac:dyDescent="0.25">
      <c r="F893" s="5"/>
    </row>
    <row r="894" spans="6:6" ht="15.75" customHeight="1" x14ac:dyDescent="0.25">
      <c r="F894" s="5"/>
    </row>
    <row r="895" spans="6:6" ht="15.75" customHeight="1" x14ac:dyDescent="0.25">
      <c r="F895" s="5"/>
    </row>
    <row r="896" spans="6:6" ht="15.75" customHeight="1" x14ac:dyDescent="0.25">
      <c r="F896" s="5"/>
    </row>
    <row r="897" spans="6:6" ht="15.75" customHeight="1" x14ac:dyDescent="0.25">
      <c r="F897" s="5"/>
    </row>
    <row r="898" spans="6:6" ht="15.75" customHeight="1" x14ac:dyDescent="0.25">
      <c r="F898" s="5"/>
    </row>
    <row r="899" spans="6:6" ht="15.75" customHeight="1" x14ac:dyDescent="0.25">
      <c r="F899" s="5"/>
    </row>
    <row r="900" spans="6:6" ht="15.75" customHeight="1" x14ac:dyDescent="0.25">
      <c r="F900" s="5"/>
    </row>
    <row r="901" spans="6:6" ht="15.75" customHeight="1" x14ac:dyDescent="0.25">
      <c r="F901" s="5"/>
    </row>
    <row r="902" spans="6:6" ht="15.75" customHeight="1" x14ac:dyDescent="0.25">
      <c r="F902" s="5"/>
    </row>
    <row r="903" spans="6:6" ht="15.75" customHeight="1" x14ac:dyDescent="0.25">
      <c r="F903" s="5"/>
    </row>
    <row r="904" spans="6:6" ht="15.75" customHeight="1" x14ac:dyDescent="0.25">
      <c r="F904" s="5"/>
    </row>
    <row r="905" spans="6:6" ht="15.75" customHeight="1" x14ac:dyDescent="0.25">
      <c r="F905" s="5"/>
    </row>
    <row r="906" spans="6:6" ht="15.75" customHeight="1" x14ac:dyDescent="0.25">
      <c r="F906" s="5"/>
    </row>
    <row r="907" spans="6:6" ht="15.75" customHeight="1" x14ac:dyDescent="0.25">
      <c r="F907" s="5"/>
    </row>
    <row r="908" spans="6:6" ht="15.75" customHeight="1" x14ac:dyDescent="0.25">
      <c r="F908" s="5"/>
    </row>
    <row r="909" spans="6:6" ht="15.75" customHeight="1" x14ac:dyDescent="0.25">
      <c r="F909" s="5"/>
    </row>
    <row r="910" spans="6:6" ht="15.75" customHeight="1" x14ac:dyDescent="0.25">
      <c r="F910" s="5"/>
    </row>
    <row r="911" spans="6:6" ht="15.75" customHeight="1" x14ac:dyDescent="0.25">
      <c r="F911" s="5"/>
    </row>
    <row r="912" spans="6:6" ht="15.75" customHeight="1" x14ac:dyDescent="0.25">
      <c r="F912" s="5"/>
    </row>
    <row r="913" spans="6:6" ht="15.75" customHeight="1" x14ac:dyDescent="0.25">
      <c r="F913" s="5"/>
    </row>
    <row r="914" spans="6:6" ht="15.75" customHeight="1" x14ac:dyDescent="0.25">
      <c r="F914" s="5"/>
    </row>
    <row r="915" spans="6:6" ht="15.75" customHeight="1" x14ac:dyDescent="0.25">
      <c r="F915" s="5"/>
    </row>
    <row r="916" spans="6:6" ht="15.75" customHeight="1" x14ac:dyDescent="0.25">
      <c r="F916" s="5"/>
    </row>
    <row r="917" spans="6:6" ht="15.75" customHeight="1" x14ac:dyDescent="0.25">
      <c r="F917" s="5"/>
    </row>
    <row r="918" spans="6:6" ht="15.75" customHeight="1" x14ac:dyDescent="0.25">
      <c r="F918" s="5"/>
    </row>
    <row r="919" spans="6:6" ht="15.75" customHeight="1" x14ac:dyDescent="0.25">
      <c r="F919" s="5"/>
    </row>
    <row r="920" spans="6:6" ht="15.75" customHeight="1" x14ac:dyDescent="0.25">
      <c r="F920" s="5"/>
    </row>
    <row r="921" spans="6:6" ht="15.75" customHeight="1" x14ac:dyDescent="0.25">
      <c r="F921" s="5"/>
    </row>
    <row r="922" spans="6:6" ht="15.75" customHeight="1" x14ac:dyDescent="0.25">
      <c r="F922" s="5"/>
    </row>
    <row r="923" spans="6:6" ht="15.75" customHeight="1" x14ac:dyDescent="0.25">
      <c r="F923" s="5"/>
    </row>
    <row r="924" spans="6:6" ht="15.75" customHeight="1" x14ac:dyDescent="0.25">
      <c r="F924" s="5"/>
    </row>
    <row r="925" spans="6:6" ht="15.75" customHeight="1" x14ac:dyDescent="0.25">
      <c r="F925" s="5"/>
    </row>
    <row r="926" spans="6:6" ht="15.75" customHeight="1" x14ac:dyDescent="0.25">
      <c r="F926" s="5"/>
    </row>
    <row r="927" spans="6:6" ht="15.75" customHeight="1" x14ac:dyDescent="0.25">
      <c r="F927" s="5"/>
    </row>
    <row r="928" spans="6:6" ht="15.75" customHeight="1" x14ac:dyDescent="0.25">
      <c r="F928" s="5"/>
    </row>
    <row r="929" spans="6:6" ht="15.75" customHeight="1" x14ac:dyDescent="0.25">
      <c r="F929" s="5"/>
    </row>
    <row r="930" spans="6:6" ht="15.75" customHeight="1" x14ac:dyDescent="0.25">
      <c r="F930" s="5"/>
    </row>
    <row r="931" spans="6:6" ht="15.75" customHeight="1" x14ac:dyDescent="0.25">
      <c r="F931" s="5"/>
    </row>
    <row r="932" spans="6:6" ht="15.75" customHeight="1" x14ac:dyDescent="0.25">
      <c r="F932" s="5"/>
    </row>
    <row r="933" spans="6:6" ht="15.75" customHeight="1" x14ac:dyDescent="0.25">
      <c r="F933" s="5"/>
    </row>
    <row r="934" spans="6:6" ht="15.75" customHeight="1" x14ac:dyDescent="0.25">
      <c r="F934" s="5"/>
    </row>
    <row r="935" spans="6:6" ht="15.75" customHeight="1" x14ac:dyDescent="0.25">
      <c r="F935" s="5"/>
    </row>
    <row r="936" spans="6:6" ht="15.75" customHeight="1" x14ac:dyDescent="0.25">
      <c r="F936" s="5"/>
    </row>
    <row r="937" spans="6:6" ht="15.75" customHeight="1" x14ac:dyDescent="0.25">
      <c r="F937" s="5"/>
    </row>
    <row r="938" spans="6:6" ht="15.75" customHeight="1" x14ac:dyDescent="0.25">
      <c r="F938" s="5"/>
    </row>
    <row r="939" spans="6:6" ht="15.75" customHeight="1" x14ac:dyDescent="0.25">
      <c r="F939" s="5"/>
    </row>
    <row r="940" spans="6:6" ht="15.75" customHeight="1" x14ac:dyDescent="0.25">
      <c r="F940" s="5"/>
    </row>
    <row r="941" spans="6:6" ht="15.75" customHeight="1" x14ac:dyDescent="0.25">
      <c r="F941" s="5"/>
    </row>
    <row r="942" spans="6:6" ht="15.75" customHeight="1" x14ac:dyDescent="0.25">
      <c r="F942" s="5"/>
    </row>
    <row r="943" spans="6:6" ht="15.75" customHeight="1" x14ac:dyDescent="0.25">
      <c r="F943" s="5"/>
    </row>
    <row r="944" spans="6:6" ht="15.75" customHeight="1" x14ac:dyDescent="0.25">
      <c r="F944" s="5"/>
    </row>
    <row r="945" spans="6:6" ht="15.75" customHeight="1" x14ac:dyDescent="0.25">
      <c r="F945" s="5"/>
    </row>
    <row r="946" spans="6:6" ht="15.75" customHeight="1" x14ac:dyDescent="0.25">
      <c r="F946" s="5"/>
    </row>
    <row r="947" spans="6:6" ht="15.75" customHeight="1" x14ac:dyDescent="0.25">
      <c r="F947" s="5"/>
    </row>
    <row r="948" spans="6:6" ht="15.75" customHeight="1" x14ac:dyDescent="0.25">
      <c r="F948" s="5"/>
    </row>
    <row r="949" spans="6:6" ht="15.75" customHeight="1" x14ac:dyDescent="0.25">
      <c r="F949" s="5"/>
    </row>
    <row r="950" spans="6:6" ht="15.75" customHeight="1" x14ac:dyDescent="0.25">
      <c r="F950" s="5"/>
    </row>
    <row r="951" spans="6:6" ht="15.75" customHeight="1" x14ac:dyDescent="0.25">
      <c r="F951" s="5"/>
    </row>
    <row r="952" spans="6:6" ht="15.75" customHeight="1" x14ac:dyDescent="0.25">
      <c r="F952" s="5"/>
    </row>
    <row r="953" spans="6:6" ht="15.75" customHeight="1" x14ac:dyDescent="0.25">
      <c r="F953" s="5"/>
    </row>
    <row r="954" spans="6:6" ht="15.75" customHeight="1" x14ac:dyDescent="0.25">
      <c r="F954" s="5"/>
    </row>
    <row r="955" spans="6:6" ht="15.75" customHeight="1" x14ac:dyDescent="0.25">
      <c r="F955" s="5"/>
    </row>
    <row r="956" spans="6:6" ht="15.75" customHeight="1" x14ac:dyDescent="0.25">
      <c r="F956" s="5"/>
    </row>
    <row r="957" spans="6:6" ht="15.75" customHeight="1" x14ac:dyDescent="0.25">
      <c r="F957" s="5"/>
    </row>
    <row r="958" spans="6:6" ht="15.75" customHeight="1" x14ac:dyDescent="0.25">
      <c r="F958" s="5"/>
    </row>
    <row r="959" spans="6:6" ht="15.75" customHeight="1" x14ac:dyDescent="0.25">
      <c r="F959" s="5"/>
    </row>
    <row r="960" spans="6:6" ht="15.75" customHeight="1" x14ac:dyDescent="0.25">
      <c r="F960" s="5"/>
    </row>
    <row r="961" spans="6:6" ht="15.75" customHeight="1" x14ac:dyDescent="0.25">
      <c r="F961" s="5"/>
    </row>
    <row r="962" spans="6:6" ht="15.75" customHeight="1" x14ac:dyDescent="0.25">
      <c r="F962" s="5"/>
    </row>
    <row r="963" spans="6:6" ht="15.75" customHeight="1" x14ac:dyDescent="0.25">
      <c r="F963" s="5"/>
    </row>
    <row r="964" spans="6:6" ht="15.75" customHeight="1" x14ac:dyDescent="0.25">
      <c r="F964" s="5"/>
    </row>
    <row r="965" spans="6:6" ht="15.75" customHeight="1" x14ac:dyDescent="0.25">
      <c r="F965" s="5"/>
    </row>
    <row r="966" spans="6:6" ht="15.75" customHeight="1" x14ac:dyDescent="0.25">
      <c r="F966" s="5"/>
    </row>
    <row r="967" spans="6:6" ht="15.75" customHeight="1" x14ac:dyDescent="0.25">
      <c r="F967" s="5"/>
    </row>
    <row r="968" spans="6:6" ht="15.75" customHeight="1" x14ac:dyDescent="0.25">
      <c r="F968" s="5"/>
    </row>
    <row r="969" spans="6:6" ht="15.75" customHeight="1" x14ac:dyDescent="0.25">
      <c r="F969" s="5"/>
    </row>
    <row r="970" spans="6:6" ht="15.75" customHeight="1" x14ac:dyDescent="0.25">
      <c r="F970" s="5"/>
    </row>
    <row r="971" spans="6:6" ht="15.75" customHeight="1" x14ac:dyDescent="0.25">
      <c r="F971" s="5"/>
    </row>
    <row r="972" spans="6:6" ht="15.75" customHeight="1" x14ac:dyDescent="0.25">
      <c r="F972" s="5"/>
    </row>
    <row r="973" spans="6:6" ht="15.75" customHeight="1" x14ac:dyDescent="0.25">
      <c r="F973" s="5"/>
    </row>
    <row r="974" spans="6:6" ht="15.75" customHeight="1" x14ac:dyDescent="0.25">
      <c r="F974" s="5"/>
    </row>
    <row r="975" spans="6:6" ht="15.75" customHeight="1" x14ac:dyDescent="0.25">
      <c r="F975" s="5"/>
    </row>
    <row r="976" spans="6:6" ht="15.75" customHeight="1" x14ac:dyDescent="0.25">
      <c r="F976" s="5"/>
    </row>
    <row r="977" spans="6:6" ht="15.75" customHeight="1" x14ac:dyDescent="0.25">
      <c r="F977" s="5"/>
    </row>
    <row r="978" spans="6:6" ht="15.75" customHeight="1" x14ac:dyDescent="0.25">
      <c r="F978" s="5"/>
    </row>
    <row r="979" spans="6:6" ht="15.75" customHeight="1" x14ac:dyDescent="0.25">
      <c r="F979" s="5"/>
    </row>
    <row r="980" spans="6:6" ht="15.75" customHeight="1" x14ac:dyDescent="0.25">
      <c r="F980" s="5"/>
    </row>
    <row r="981" spans="6:6" ht="15.75" customHeight="1" x14ac:dyDescent="0.25">
      <c r="F981" s="5"/>
    </row>
    <row r="982" spans="6:6" ht="15.75" customHeight="1" x14ac:dyDescent="0.25">
      <c r="F982" s="5"/>
    </row>
    <row r="983" spans="6:6" ht="15.75" customHeight="1" x14ac:dyDescent="0.25">
      <c r="F983" s="5"/>
    </row>
    <row r="984" spans="6:6" ht="15.75" customHeight="1" x14ac:dyDescent="0.25">
      <c r="F984" s="5"/>
    </row>
    <row r="985" spans="6:6" ht="15.75" customHeight="1" x14ac:dyDescent="0.25">
      <c r="F985" s="5"/>
    </row>
    <row r="986" spans="6:6" ht="15.75" customHeight="1" x14ac:dyDescent="0.25">
      <c r="F986" s="5"/>
    </row>
    <row r="987" spans="6:6" ht="15.75" customHeight="1" x14ac:dyDescent="0.25">
      <c r="F987" s="5"/>
    </row>
    <row r="988" spans="6:6" ht="15.75" customHeight="1" x14ac:dyDescent="0.25">
      <c r="F988" s="5"/>
    </row>
    <row r="989" spans="6:6" ht="15.75" customHeight="1" x14ac:dyDescent="0.25">
      <c r="F989" s="5"/>
    </row>
    <row r="990" spans="6:6" ht="15.75" customHeight="1" x14ac:dyDescent="0.25">
      <c r="F990" s="5"/>
    </row>
    <row r="991" spans="6:6" ht="15.75" customHeight="1" x14ac:dyDescent="0.25">
      <c r="F991" s="5"/>
    </row>
    <row r="992" spans="6:6" ht="15.75" customHeight="1" x14ac:dyDescent="0.25">
      <c r="F992" s="5"/>
    </row>
    <row r="993" spans="6:6" ht="15.75" customHeight="1" x14ac:dyDescent="0.25">
      <c r="F993" s="5"/>
    </row>
    <row r="994" spans="6:6" ht="15.75" customHeight="1" x14ac:dyDescent="0.25">
      <c r="F994" s="5"/>
    </row>
    <row r="995" spans="6:6" ht="15.75" customHeight="1" x14ac:dyDescent="0.25">
      <c r="F995" s="5"/>
    </row>
    <row r="996" spans="6:6" ht="15.75" customHeight="1" x14ac:dyDescent="0.25">
      <c r="F996" s="5"/>
    </row>
    <row r="997" spans="6:6" ht="15.75" customHeight="1" x14ac:dyDescent="0.25">
      <c r="F997" s="5"/>
    </row>
    <row r="998" spans="6:6" ht="15.75" customHeight="1" x14ac:dyDescent="0.25">
      <c r="F998" s="5"/>
    </row>
    <row r="999" spans="6:6" ht="15.75" customHeight="1" x14ac:dyDescent="0.25">
      <c r="F999" s="5"/>
    </row>
    <row r="1000" spans="6:6" ht="15.75" customHeight="1" x14ac:dyDescent="0.25">
      <c r="F1000" s="5"/>
    </row>
    <row r="1001" spans="6:6" ht="15.75" customHeight="1" x14ac:dyDescent="0.25">
      <c r="F1001" s="5"/>
    </row>
    <row r="1002" spans="6:6" ht="15.75" customHeight="1" x14ac:dyDescent="0.25">
      <c r="F1002" s="5"/>
    </row>
    <row r="1003" spans="6:6" ht="15.75" customHeight="1" x14ac:dyDescent="0.25">
      <c r="F1003" s="5"/>
    </row>
  </sheetData>
  <sheetProtection algorithmName="SHA-512" hashValue="b20MQRVtMXV4pwK04WiDkQMQx46YKSWTyNVt9HVZa8oYptP+fi72OdNQQIpzMcgrks+uAidOuySFJQ3EBajzng==" saltValue="qnDfDLMGZZaUtqB7tUrfWw==" spinCount="100000" sheet="1" objects="1" scenarios="1" selectLockedCells="1"/>
  <mergeCells count="4">
    <mergeCell ref="D22:E22"/>
    <mergeCell ref="B1:C1"/>
    <mergeCell ref="F1:F19"/>
    <mergeCell ref="G1:H1"/>
  </mergeCells>
  <conditionalFormatting sqref="C19">
    <cfRule type="cellIs" dxfId="3" priority="1" operator="greaterThan">
      <formula>0</formula>
    </cfRule>
  </conditionalFormatting>
  <conditionalFormatting sqref="C19">
    <cfRule type="cellIs" dxfId="2" priority="2" operator="lessThan">
      <formula>0</formula>
    </cfRule>
  </conditionalFormatting>
  <pageMargins left="0.511811024" right="0.511811024" top="0.78740157499999996" bottom="0.78740157499999996" header="0" footer="0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D5514-CA4D-4786-8E8A-F3BF3E8BF2D6}">
  <sheetPr codeName="Planilha11"/>
  <dimension ref="A1:J66"/>
  <sheetViews>
    <sheetView workbookViewId="0">
      <selection activeCell="B34" sqref="B34"/>
    </sheetView>
  </sheetViews>
  <sheetFormatPr defaultRowHeight="15" x14ac:dyDescent="0.25"/>
  <cols>
    <col min="1" max="1" width="11.28515625" bestFit="1" customWidth="1"/>
    <col min="2" max="2" width="11.5703125" customWidth="1"/>
    <col min="3" max="3" width="18.7109375" customWidth="1"/>
    <col min="4" max="4" width="21.7109375" style="97" bestFit="1" customWidth="1"/>
    <col min="5" max="5" width="18.7109375" style="96" customWidth="1"/>
    <col min="6" max="7" width="18.7109375" customWidth="1"/>
    <col min="8" max="8" width="21" bestFit="1" customWidth="1"/>
    <col min="9" max="10" width="18.7109375" customWidth="1"/>
  </cols>
  <sheetData>
    <row r="1" spans="1:10" ht="15.75" thickBot="1" x14ac:dyDescent="0.3"/>
    <row r="2" spans="1:10" x14ac:dyDescent="0.25">
      <c r="B2" s="83" t="s">
        <v>0</v>
      </c>
      <c r="C2" s="84" t="s">
        <v>68</v>
      </c>
      <c r="D2" s="84" t="s">
        <v>76</v>
      </c>
      <c r="E2" s="84" t="s">
        <v>75</v>
      </c>
      <c r="F2" s="84" t="s">
        <v>69</v>
      </c>
      <c r="G2" s="85" t="s">
        <v>73</v>
      </c>
      <c r="H2" s="84" t="s">
        <v>176</v>
      </c>
      <c r="I2" s="84" t="s">
        <v>71</v>
      </c>
      <c r="J2" s="86" t="s">
        <v>72</v>
      </c>
    </row>
    <row r="3" spans="1:10" x14ac:dyDescent="0.25">
      <c r="B3" s="89">
        <v>44644</v>
      </c>
      <c r="C3" s="90">
        <v>3500</v>
      </c>
      <c r="D3" s="90">
        <v>100</v>
      </c>
      <c r="E3" s="90">
        <v>0</v>
      </c>
      <c r="F3" s="90">
        <v>4650</v>
      </c>
      <c r="G3" s="87">
        <f>IF(B3="","",C3+E3-F3)</f>
        <v>-1150</v>
      </c>
      <c r="H3" s="90">
        <v>1925</v>
      </c>
      <c r="I3" s="90">
        <v>1300</v>
      </c>
      <c r="J3" s="94">
        <v>3350</v>
      </c>
    </row>
    <row r="4" spans="1:10" x14ac:dyDescent="0.25">
      <c r="B4" s="89"/>
      <c r="C4" s="90"/>
      <c r="D4" s="90"/>
      <c r="E4" s="90"/>
      <c r="F4" s="90"/>
      <c r="G4" s="87" t="str">
        <f t="shared" ref="G4:G65" si="0">IF(B4="","",C4+E4-F4)</f>
        <v/>
      </c>
      <c r="H4" s="90"/>
      <c r="I4" s="90"/>
      <c r="J4" s="94"/>
    </row>
    <row r="5" spans="1:10" x14ac:dyDescent="0.25">
      <c r="A5" s="76"/>
      <c r="B5" s="89"/>
      <c r="C5" s="90"/>
      <c r="D5" s="90"/>
      <c r="E5" s="90"/>
      <c r="F5" s="90"/>
      <c r="G5" s="87" t="str">
        <f t="shared" si="0"/>
        <v/>
      </c>
      <c r="H5" s="90"/>
      <c r="I5" s="90"/>
      <c r="J5" s="94"/>
    </row>
    <row r="6" spans="1:10" x14ac:dyDescent="0.25">
      <c r="B6" s="89"/>
      <c r="C6" s="90"/>
      <c r="D6" s="90"/>
      <c r="E6" s="90"/>
      <c r="F6" s="90"/>
      <c r="G6" s="87" t="str">
        <f t="shared" si="0"/>
        <v/>
      </c>
      <c r="H6" s="90"/>
      <c r="I6" s="90"/>
      <c r="J6" s="94"/>
    </row>
    <row r="7" spans="1:10" x14ac:dyDescent="0.25">
      <c r="A7" s="76"/>
      <c r="B7" s="89"/>
      <c r="C7" s="90"/>
      <c r="D7" s="90"/>
      <c r="E7" s="90"/>
      <c r="F7" s="90"/>
      <c r="G7" s="87" t="str">
        <f t="shared" si="0"/>
        <v/>
      </c>
      <c r="H7" s="90"/>
      <c r="I7" s="90"/>
      <c r="J7" s="94"/>
    </row>
    <row r="8" spans="1:10" x14ac:dyDescent="0.25">
      <c r="A8" s="76"/>
      <c r="B8" s="89"/>
      <c r="C8" s="90"/>
      <c r="D8" s="90"/>
      <c r="E8" s="90"/>
      <c r="F8" s="90"/>
      <c r="G8" s="87" t="str">
        <f t="shared" si="0"/>
        <v/>
      </c>
      <c r="H8" s="90"/>
      <c r="I8" s="90"/>
      <c r="J8" s="94"/>
    </row>
    <row r="9" spans="1:10" x14ac:dyDescent="0.25">
      <c r="A9" s="76"/>
      <c r="B9" s="89"/>
      <c r="C9" s="90"/>
      <c r="D9" s="90"/>
      <c r="E9" s="90"/>
      <c r="F9" s="90"/>
      <c r="G9" s="87" t="str">
        <f t="shared" si="0"/>
        <v/>
      </c>
      <c r="H9" s="90"/>
      <c r="I9" s="90"/>
      <c r="J9" s="94"/>
    </row>
    <row r="10" spans="1:10" x14ac:dyDescent="0.25">
      <c r="A10" s="76"/>
      <c r="B10" s="89"/>
      <c r="C10" s="90"/>
      <c r="D10" s="90"/>
      <c r="E10" s="90"/>
      <c r="F10" s="90"/>
      <c r="G10" s="87" t="str">
        <f t="shared" si="0"/>
        <v/>
      </c>
      <c r="H10" s="90"/>
      <c r="I10" s="90"/>
      <c r="J10" s="94"/>
    </row>
    <row r="11" spans="1:10" x14ac:dyDescent="0.25">
      <c r="A11" s="76"/>
      <c r="B11" s="89"/>
      <c r="C11" s="90"/>
      <c r="D11" s="90"/>
      <c r="E11" s="90"/>
      <c r="F11" s="90"/>
      <c r="G11" s="87" t="str">
        <f t="shared" si="0"/>
        <v/>
      </c>
      <c r="H11" s="90"/>
      <c r="I11" s="90"/>
      <c r="J11" s="94"/>
    </row>
    <row r="12" spans="1:10" x14ac:dyDescent="0.25">
      <c r="B12" s="89"/>
      <c r="C12" s="90"/>
      <c r="D12" s="90"/>
      <c r="E12" s="90"/>
      <c r="F12" s="90"/>
      <c r="G12" s="87" t="str">
        <f t="shared" si="0"/>
        <v/>
      </c>
      <c r="H12" s="90"/>
      <c r="I12" s="90"/>
      <c r="J12" s="94"/>
    </row>
    <row r="13" spans="1:10" x14ac:dyDescent="0.25">
      <c r="B13" s="91"/>
      <c r="C13" s="90"/>
      <c r="D13" s="90"/>
      <c r="E13" s="90"/>
      <c r="F13" s="90"/>
      <c r="G13" s="87" t="str">
        <f t="shared" si="0"/>
        <v/>
      </c>
      <c r="H13" s="90"/>
      <c r="I13" s="90"/>
      <c r="J13" s="94"/>
    </row>
    <row r="14" spans="1:10" x14ac:dyDescent="0.25">
      <c r="B14" s="91"/>
      <c r="C14" s="90"/>
      <c r="D14" s="90"/>
      <c r="E14" s="90"/>
      <c r="F14" s="90"/>
      <c r="G14" s="87" t="str">
        <f t="shared" si="0"/>
        <v/>
      </c>
      <c r="H14" s="90"/>
      <c r="I14" s="90"/>
      <c r="J14" s="94"/>
    </row>
    <row r="15" spans="1:10" x14ac:dyDescent="0.25">
      <c r="B15" s="91"/>
      <c r="C15" s="90"/>
      <c r="D15" s="90"/>
      <c r="E15" s="90"/>
      <c r="F15" s="90"/>
      <c r="G15" s="87" t="str">
        <f t="shared" si="0"/>
        <v/>
      </c>
      <c r="H15" s="90"/>
      <c r="I15" s="90"/>
      <c r="J15" s="94"/>
    </row>
    <row r="16" spans="1:10" x14ac:dyDescent="0.25">
      <c r="B16" s="91"/>
      <c r="C16" s="90"/>
      <c r="D16" s="90"/>
      <c r="E16" s="90"/>
      <c r="F16" s="90"/>
      <c r="G16" s="87" t="str">
        <f t="shared" si="0"/>
        <v/>
      </c>
      <c r="H16" s="90"/>
      <c r="I16" s="90"/>
      <c r="J16" s="94"/>
    </row>
    <row r="17" spans="2:10" x14ac:dyDescent="0.25">
      <c r="B17" s="91"/>
      <c r="C17" s="90"/>
      <c r="D17" s="90"/>
      <c r="E17" s="90"/>
      <c r="F17" s="90"/>
      <c r="G17" s="87" t="str">
        <f t="shared" si="0"/>
        <v/>
      </c>
      <c r="H17" s="90"/>
      <c r="I17" s="90"/>
      <c r="J17" s="94"/>
    </row>
    <row r="18" spans="2:10" x14ac:dyDescent="0.25">
      <c r="B18" s="91"/>
      <c r="C18" s="90"/>
      <c r="D18" s="90"/>
      <c r="E18" s="90"/>
      <c r="F18" s="90"/>
      <c r="G18" s="87" t="str">
        <f t="shared" si="0"/>
        <v/>
      </c>
      <c r="H18" s="90"/>
      <c r="I18" s="90"/>
      <c r="J18" s="94"/>
    </row>
    <row r="19" spans="2:10" x14ac:dyDescent="0.25">
      <c r="B19" s="91"/>
      <c r="C19" s="90"/>
      <c r="D19" s="90"/>
      <c r="E19" s="90"/>
      <c r="F19" s="90"/>
      <c r="G19" s="87" t="str">
        <f t="shared" si="0"/>
        <v/>
      </c>
      <c r="H19" s="90"/>
      <c r="I19" s="90"/>
      <c r="J19" s="94"/>
    </row>
    <row r="20" spans="2:10" x14ac:dyDescent="0.25">
      <c r="B20" s="91"/>
      <c r="C20" s="90"/>
      <c r="D20" s="90"/>
      <c r="E20" s="90"/>
      <c r="F20" s="90"/>
      <c r="G20" s="87" t="str">
        <f t="shared" si="0"/>
        <v/>
      </c>
      <c r="H20" s="90"/>
      <c r="I20" s="90"/>
      <c r="J20" s="94"/>
    </row>
    <row r="21" spans="2:10" x14ac:dyDescent="0.25">
      <c r="B21" s="91"/>
      <c r="C21" s="90"/>
      <c r="D21" s="90"/>
      <c r="E21" s="90"/>
      <c r="F21" s="90"/>
      <c r="G21" s="87" t="str">
        <f t="shared" si="0"/>
        <v/>
      </c>
      <c r="H21" s="90"/>
      <c r="I21" s="90"/>
      <c r="J21" s="94"/>
    </row>
    <row r="22" spans="2:10" x14ac:dyDescent="0.25">
      <c r="B22" s="91"/>
      <c r="C22" s="90"/>
      <c r="D22" s="90"/>
      <c r="E22" s="90"/>
      <c r="F22" s="90"/>
      <c r="G22" s="87" t="str">
        <f t="shared" si="0"/>
        <v/>
      </c>
      <c r="H22" s="90"/>
      <c r="I22" s="90"/>
      <c r="J22" s="94"/>
    </row>
    <row r="23" spans="2:10" x14ac:dyDescent="0.25">
      <c r="B23" s="91"/>
      <c r="C23" s="90"/>
      <c r="D23" s="90"/>
      <c r="E23" s="90"/>
      <c r="F23" s="90"/>
      <c r="G23" s="87" t="str">
        <f t="shared" si="0"/>
        <v/>
      </c>
      <c r="H23" s="90"/>
      <c r="I23" s="90"/>
      <c r="J23" s="94"/>
    </row>
    <row r="24" spans="2:10" x14ac:dyDescent="0.25">
      <c r="B24" s="91"/>
      <c r="C24" s="90"/>
      <c r="D24" s="90"/>
      <c r="E24" s="90"/>
      <c r="F24" s="90"/>
      <c r="G24" s="87" t="str">
        <f t="shared" si="0"/>
        <v/>
      </c>
      <c r="H24" s="90"/>
      <c r="I24" s="90"/>
      <c r="J24" s="94"/>
    </row>
    <row r="25" spans="2:10" x14ac:dyDescent="0.25">
      <c r="B25" s="91"/>
      <c r="C25" s="90"/>
      <c r="D25" s="90"/>
      <c r="E25" s="90"/>
      <c r="F25" s="90"/>
      <c r="G25" s="87" t="str">
        <f t="shared" si="0"/>
        <v/>
      </c>
      <c r="H25" s="90"/>
      <c r="I25" s="90"/>
      <c r="J25" s="94"/>
    </row>
    <row r="26" spans="2:10" x14ac:dyDescent="0.25">
      <c r="B26" s="91"/>
      <c r="C26" s="90"/>
      <c r="D26" s="90"/>
      <c r="E26" s="90"/>
      <c r="F26" s="90"/>
      <c r="G26" s="87" t="str">
        <f t="shared" si="0"/>
        <v/>
      </c>
      <c r="H26" s="90"/>
      <c r="I26" s="90"/>
      <c r="J26" s="94"/>
    </row>
    <row r="27" spans="2:10" x14ac:dyDescent="0.25">
      <c r="B27" s="91"/>
      <c r="C27" s="90"/>
      <c r="D27" s="90"/>
      <c r="E27" s="90"/>
      <c r="F27" s="90"/>
      <c r="G27" s="87" t="str">
        <f t="shared" si="0"/>
        <v/>
      </c>
      <c r="H27" s="90"/>
      <c r="I27" s="90"/>
      <c r="J27" s="94"/>
    </row>
    <row r="28" spans="2:10" x14ac:dyDescent="0.25">
      <c r="B28" s="91"/>
      <c r="C28" s="90"/>
      <c r="D28" s="90"/>
      <c r="E28" s="90"/>
      <c r="F28" s="90"/>
      <c r="G28" s="87" t="str">
        <f t="shared" si="0"/>
        <v/>
      </c>
      <c r="H28" s="90"/>
      <c r="I28" s="90"/>
      <c r="J28" s="94"/>
    </row>
    <row r="29" spans="2:10" x14ac:dyDescent="0.25">
      <c r="B29" s="91"/>
      <c r="C29" s="90"/>
      <c r="D29" s="90"/>
      <c r="E29" s="90"/>
      <c r="F29" s="90"/>
      <c r="G29" s="87" t="str">
        <f t="shared" si="0"/>
        <v/>
      </c>
      <c r="H29" s="90"/>
      <c r="I29" s="90"/>
      <c r="J29" s="94"/>
    </row>
    <row r="30" spans="2:10" x14ac:dyDescent="0.25">
      <c r="B30" s="91"/>
      <c r="C30" s="90"/>
      <c r="D30" s="90"/>
      <c r="E30" s="90"/>
      <c r="F30" s="90"/>
      <c r="G30" s="87" t="str">
        <f t="shared" si="0"/>
        <v/>
      </c>
      <c r="H30" s="90"/>
      <c r="I30" s="90"/>
      <c r="J30" s="94"/>
    </row>
    <row r="31" spans="2:10" x14ac:dyDescent="0.25">
      <c r="B31" s="91"/>
      <c r="C31" s="90"/>
      <c r="D31" s="90"/>
      <c r="E31" s="90"/>
      <c r="F31" s="90"/>
      <c r="G31" s="87" t="str">
        <f t="shared" si="0"/>
        <v/>
      </c>
      <c r="H31" s="90"/>
      <c r="I31" s="90"/>
      <c r="J31" s="94"/>
    </row>
    <row r="32" spans="2:10" x14ac:dyDescent="0.25">
      <c r="B32" s="91"/>
      <c r="C32" s="90"/>
      <c r="D32" s="90"/>
      <c r="E32" s="90"/>
      <c r="F32" s="90"/>
      <c r="G32" s="87" t="str">
        <f t="shared" si="0"/>
        <v/>
      </c>
      <c r="H32" s="90"/>
      <c r="I32" s="90"/>
      <c r="J32" s="94"/>
    </row>
    <row r="33" spans="2:10" x14ac:dyDescent="0.25">
      <c r="B33" s="91"/>
      <c r="C33" s="90"/>
      <c r="D33" s="90"/>
      <c r="E33" s="90"/>
      <c r="F33" s="90"/>
      <c r="G33" s="87" t="str">
        <f t="shared" si="0"/>
        <v/>
      </c>
      <c r="H33" s="90"/>
      <c r="I33" s="90"/>
      <c r="J33" s="94"/>
    </row>
    <row r="34" spans="2:10" x14ac:dyDescent="0.25">
      <c r="B34" s="91"/>
      <c r="C34" s="90"/>
      <c r="D34" s="90"/>
      <c r="E34" s="90"/>
      <c r="F34" s="90"/>
      <c r="G34" s="87" t="str">
        <f t="shared" si="0"/>
        <v/>
      </c>
      <c r="H34" s="90"/>
      <c r="I34" s="90"/>
      <c r="J34" s="94"/>
    </row>
    <row r="35" spans="2:10" x14ac:dyDescent="0.25">
      <c r="B35" s="91"/>
      <c r="C35" s="90"/>
      <c r="D35" s="90"/>
      <c r="E35" s="90"/>
      <c r="F35" s="90"/>
      <c r="G35" s="87" t="str">
        <f t="shared" si="0"/>
        <v/>
      </c>
      <c r="H35" s="90"/>
      <c r="I35" s="90"/>
      <c r="J35" s="94"/>
    </row>
    <row r="36" spans="2:10" x14ac:dyDescent="0.25">
      <c r="B36" s="91"/>
      <c r="C36" s="90"/>
      <c r="D36" s="90"/>
      <c r="E36" s="90"/>
      <c r="F36" s="90"/>
      <c r="G36" s="87" t="str">
        <f t="shared" si="0"/>
        <v/>
      </c>
      <c r="H36" s="90"/>
      <c r="I36" s="90"/>
      <c r="J36" s="94"/>
    </row>
    <row r="37" spans="2:10" x14ac:dyDescent="0.25">
      <c r="B37" s="91"/>
      <c r="C37" s="90"/>
      <c r="D37" s="90"/>
      <c r="E37" s="90"/>
      <c r="F37" s="90"/>
      <c r="G37" s="87" t="str">
        <f t="shared" si="0"/>
        <v/>
      </c>
      <c r="H37" s="90"/>
      <c r="I37" s="90"/>
      <c r="J37" s="94"/>
    </row>
    <row r="38" spans="2:10" x14ac:dyDescent="0.25">
      <c r="B38" s="91"/>
      <c r="C38" s="90"/>
      <c r="D38" s="90"/>
      <c r="E38" s="90"/>
      <c r="F38" s="90"/>
      <c r="G38" s="87" t="str">
        <f t="shared" si="0"/>
        <v/>
      </c>
      <c r="H38" s="90"/>
      <c r="I38" s="90"/>
      <c r="J38" s="94"/>
    </row>
    <row r="39" spans="2:10" x14ac:dyDescent="0.25">
      <c r="B39" s="91"/>
      <c r="C39" s="90"/>
      <c r="D39" s="90"/>
      <c r="E39" s="90"/>
      <c r="F39" s="90"/>
      <c r="G39" s="87" t="str">
        <f t="shared" si="0"/>
        <v/>
      </c>
      <c r="H39" s="90"/>
      <c r="I39" s="90"/>
      <c r="J39" s="94"/>
    </row>
    <row r="40" spans="2:10" x14ac:dyDescent="0.25">
      <c r="B40" s="91"/>
      <c r="C40" s="90"/>
      <c r="D40" s="90"/>
      <c r="E40" s="90"/>
      <c r="F40" s="90"/>
      <c r="G40" s="87" t="str">
        <f t="shared" si="0"/>
        <v/>
      </c>
      <c r="H40" s="90"/>
      <c r="I40" s="90"/>
      <c r="J40" s="94"/>
    </row>
    <row r="41" spans="2:10" x14ac:dyDescent="0.25">
      <c r="B41" s="91"/>
      <c r="C41" s="90"/>
      <c r="D41" s="90"/>
      <c r="E41" s="90"/>
      <c r="F41" s="90"/>
      <c r="G41" s="87" t="str">
        <f t="shared" si="0"/>
        <v/>
      </c>
      <c r="H41" s="90"/>
      <c r="I41" s="90"/>
      <c r="J41" s="94"/>
    </row>
    <row r="42" spans="2:10" x14ac:dyDescent="0.25">
      <c r="B42" s="91"/>
      <c r="C42" s="90"/>
      <c r="D42" s="90"/>
      <c r="E42" s="90"/>
      <c r="F42" s="90"/>
      <c r="G42" s="87" t="str">
        <f t="shared" si="0"/>
        <v/>
      </c>
      <c r="H42" s="90"/>
      <c r="I42" s="90"/>
      <c r="J42" s="94"/>
    </row>
    <row r="43" spans="2:10" x14ac:dyDescent="0.25">
      <c r="B43" s="91"/>
      <c r="C43" s="90"/>
      <c r="D43" s="90"/>
      <c r="E43" s="90"/>
      <c r="F43" s="90"/>
      <c r="G43" s="87" t="str">
        <f t="shared" si="0"/>
        <v/>
      </c>
      <c r="H43" s="90"/>
      <c r="I43" s="90"/>
      <c r="J43" s="94"/>
    </row>
    <row r="44" spans="2:10" x14ac:dyDescent="0.25">
      <c r="B44" s="91"/>
      <c r="C44" s="90"/>
      <c r="D44" s="90"/>
      <c r="E44" s="90"/>
      <c r="F44" s="90"/>
      <c r="G44" s="87" t="str">
        <f t="shared" si="0"/>
        <v/>
      </c>
      <c r="H44" s="90"/>
      <c r="I44" s="90"/>
      <c r="J44" s="94"/>
    </row>
    <row r="45" spans="2:10" x14ac:dyDescent="0.25">
      <c r="B45" s="91"/>
      <c r="C45" s="90"/>
      <c r="D45" s="90"/>
      <c r="E45" s="90"/>
      <c r="F45" s="90"/>
      <c r="G45" s="87" t="str">
        <f t="shared" si="0"/>
        <v/>
      </c>
      <c r="H45" s="90"/>
      <c r="I45" s="90"/>
      <c r="J45" s="94"/>
    </row>
    <row r="46" spans="2:10" x14ac:dyDescent="0.25">
      <c r="B46" s="91"/>
      <c r="C46" s="90"/>
      <c r="D46" s="90"/>
      <c r="E46" s="90"/>
      <c r="F46" s="90"/>
      <c r="G46" s="87" t="str">
        <f t="shared" si="0"/>
        <v/>
      </c>
      <c r="H46" s="90"/>
      <c r="I46" s="90"/>
      <c r="J46" s="94"/>
    </row>
    <row r="47" spans="2:10" x14ac:dyDescent="0.25">
      <c r="B47" s="91"/>
      <c r="C47" s="90"/>
      <c r="D47" s="90"/>
      <c r="E47" s="90"/>
      <c r="F47" s="90"/>
      <c r="G47" s="87" t="str">
        <f t="shared" si="0"/>
        <v/>
      </c>
      <c r="H47" s="90"/>
      <c r="I47" s="90"/>
      <c r="J47" s="94"/>
    </row>
    <row r="48" spans="2:10" x14ac:dyDescent="0.25">
      <c r="B48" s="91"/>
      <c r="C48" s="90"/>
      <c r="D48" s="90"/>
      <c r="E48" s="90"/>
      <c r="F48" s="90"/>
      <c r="G48" s="87" t="str">
        <f t="shared" si="0"/>
        <v/>
      </c>
      <c r="H48" s="90"/>
      <c r="I48" s="90"/>
      <c r="J48" s="94"/>
    </row>
    <row r="49" spans="2:10" x14ac:dyDescent="0.25">
      <c r="B49" s="91"/>
      <c r="C49" s="90"/>
      <c r="D49" s="90"/>
      <c r="E49" s="90"/>
      <c r="F49" s="90"/>
      <c r="G49" s="87" t="str">
        <f t="shared" si="0"/>
        <v/>
      </c>
      <c r="H49" s="90"/>
      <c r="I49" s="90"/>
      <c r="J49" s="94"/>
    </row>
    <row r="50" spans="2:10" x14ac:dyDescent="0.25">
      <c r="B50" s="91"/>
      <c r="C50" s="90"/>
      <c r="D50" s="90"/>
      <c r="E50" s="90"/>
      <c r="F50" s="90"/>
      <c r="G50" s="87" t="str">
        <f t="shared" si="0"/>
        <v/>
      </c>
      <c r="H50" s="90"/>
      <c r="I50" s="90"/>
      <c r="J50" s="94"/>
    </row>
    <row r="51" spans="2:10" x14ac:dyDescent="0.25">
      <c r="B51" s="91"/>
      <c r="C51" s="90"/>
      <c r="D51" s="90"/>
      <c r="E51" s="90"/>
      <c r="F51" s="90"/>
      <c r="G51" s="87" t="str">
        <f t="shared" si="0"/>
        <v/>
      </c>
      <c r="H51" s="90"/>
      <c r="I51" s="90"/>
      <c r="J51" s="94"/>
    </row>
    <row r="52" spans="2:10" x14ac:dyDescent="0.25">
      <c r="B52" s="91"/>
      <c r="C52" s="90"/>
      <c r="D52" s="90"/>
      <c r="E52" s="90"/>
      <c r="F52" s="90"/>
      <c r="G52" s="87" t="str">
        <f t="shared" si="0"/>
        <v/>
      </c>
      <c r="H52" s="90"/>
      <c r="I52" s="90"/>
      <c r="J52" s="94"/>
    </row>
    <row r="53" spans="2:10" x14ac:dyDescent="0.25">
      <c r="B53" s="91"/>
      <c r="C53" s="90"/>
      <c r="D53" s="90"/>
      <c r="E53" s="90"/>
      <c r="F53" s="90"/>
      <c r="G53" s="87" t="str">
        <f t="shared" si="0"/>
        <v/>
      </c>
      <c r="H53" s="90"/>
      <c r="I53" s="90"/>
      <c r="J53" s="94"/>
    </row>
    <row r="54" spans="2:10" x14ac:dyDescent="0.25">
      <c r="B54" s="91"/>
      <c r="C54" s="90"/>
      <c r="D54" s="90"/>
      <c r="E54" s="90"/>
      <c r="F54" s="90"/>
      <c r="G54" s="87" t="str">
        <f t="shared" si="0"/>
        <v/>
      </c>
      <c r="H54" s="90"/>
      <c r="I54" s="90"/>
      <c r="J54" s="94"/>
    </row>
    <row r="55" spans="2:10" x14ac:dyDescent="0.25">
      <c r="B55" s="91"/>
      <c r="C55" s="90"/>
      <c r="D55" s="90"/>
      <c r="E55" s="90"/>
      <c r="F55" s="90"/>
      <c r="G55" s="87" t="str">
        <f t="shared" si="0"/>
        <v/>
      </c>
      <c r="H55" s="90"/>
      <c r="I55" s="90"/>
      <c r="J55" s="94"/>
    </row>
    <row r="56" spans="2:10" x14ac:dyDescent="0.25">
      <c r="B56" s="91"/>
      <c r="C56" s="90"/>
      <c r="D56" s="90"/>
      <c r="E56" s="90"/>
      <c r="F56" s="90"/>
      <c r="G56" s="87" t="str">
        <f t="shared" si="0"/>
        <v/>
      </c>
      <c r="H56" s="90"/>
      <c r="I56" s="90"/>
      <c r="J56" s="94"/>
    </row>
    <row r="57" spans="2:10" x14ac:dyDescent="0.25">
      <c r="B57" s="91"/>
      <c r="C57" s="90"/>
      <c r="D57" s="90"/>
      <c r="E57" s="90"/>
      <c r="F57" s="90"/>
      <c r="G57" s="87" t="str">
        <f t="shared" si="0"/>
        <v/>
      </c>
      <c r="H57" s="90"/>
      <c r="I57" s="90"/>
      <c r="J57" s="94"/>
    </row>
    <row r="58" spans="2:10" x14ac:dyDescent="0.25">
      <c r="B58" s="91"/>
      <c r="C58" s="90"/>
      <c r="D58" s="90"/>
      <c r="E58" s="90"/>
      <c r="F58" s="90"/>
      <c r="G58" s="87" t="str">
        <f t="shared" si="0"/>
        <v/>
      </c>
      <c r="H58" s="90"/>
      <c r="I58" s="90"/>
      <c r="J58" s="94"/>
    </row>
    <row r="59" spans="2:10" x14ac:dyDescent="0.25">
      <c r="B59" s="91"/>
      <c r="C59" s="90"/>
      <c r="D59" s="90"/>
      <c r="E59" s="90"/>
      <c r="F59" s="90"/>
      <c r="G59" s="87" t="str">
        <f t="shared" si="0"/>
        <v/>
      </c>
      <c r="H59" s="90"/>
      <c r="I59" s="90"/>
      <c r="J59" s="94"/>
    </row>
    <row r="60" spans="2:10" x14ac:dyDescent="0.25">
      <c r="B60" s="91"/>
      <c r="C60" s="90"/>
      <c r="D60" s="90"/>
      <c r="E60" s="90"/>
      <c r="F60" s="90"/>
      <c r="G60" s="87" t="str">
        <f t="shared" si="0"/>
        <v/>
      </c>
      <c r="H60" s="90"/>
      <c r="I60" s="90"/>
      <c r="J60" s="94"/>
    </row>
    <row r="61" spans="2:10" x14ac:dyDescent="0.25">
      <c r="B61" s="91"/>
      <c r="C61" s="90"/>
      <c r="D61" s="90"/>
      <c r="E61" s="90"/>
      <c r="F61" s="90"/>
      <c r="G61" s="87" t="str">
        <f t="shared" si="0"/>
        <v/>
      </c>
      <c r="H61" s="90"/>
      <c r="I61" s="90"/>
      <c r="J61" s="94"/>
    </row>
    <row r="62" spans="2:10" x14ac:dyDescent="0.25">
      <c r="B62" s="91"/>
      <c r="C62" s="90"/>
      <c r="D62" s="90"/>
      <c r="E62" s="90"/>
      <c r="F62" s="90"/>
      <c r="G62" s="87" t="str">
        <f t="shared" si="0"/>
        <v/>
      </c>
      <c r="H62" s="90"/>
      <c r="I62" s="90"/>
      <c r="J62" s="94"/>
    </row>
    <row r="63" spans="2:10" x14ac:dyDescent="0.25">
      <c r="B63" s="91"/>
      <c r="C63" s="90"/>
      <c r="D63" s="90"/>
      <c r="E63" s="90"/>
      <c r="F63" s="90"/>
      <c r="G63" s="87" t="str">
        <f t="shared" si="0"/>
        <v/>
      </c>
      <c r="H63" s="90"/>
      <c r="I63" s="90"/>
      <c r="J63" s="94"/>
    </row>
    <row r="64" spans="2:10" x14ac:dyDescent="0.25">
      <c r="B64" s="91"/>
      <c r="C64" s="90"/>
      <c r="D64" s="90"/>
      <c r="E64" s="90"/>
      <c r="F64" s="90"/>
      <c r="G64" s="87" t="str">
        <f t="shared" si="0"/>
        <v/>
      </c>
      <c r="H64" s="90"/>
      <c r="I64" s="90"/>
      <c r="J64" s="94"/>
    </row>
    <row r="65" spans="2:10" ht="15.75" thickBot="1" x14ac:dyDescent="0.3">
      <c r="B65" s="92"/>
      <c r="C65" s="93"/>
      <c r="D65" s="93"/>
      <c r="E65" s="93"/>
      <c r="F65" s="93"/>
      <c r="G65" s="88" t="str">
        <f t="shared" si="0"/>
        <v/>
      </c>
      <c r="H65" s="93"/>
      <c r="I65" s="93"/>
      <c r="J65" s="95"/>
    </row>
    <row r="66" spans="2:10" x14ac:dyDescent="0.25">
      <c r="G66" s="77"/>
    </row>
  </sheetData>
  <sheetProtection algorithmName="SHA-512" hashValue="z3HOJawr3eqsr8UP3CTlHRx5Aes3WHpiBKGiYOndERromtju54E15DhDpMhITQyiiIVTDn6dL/2VJ0MC75hbfw==" saltValue="zon3T3sHQ3TD5bujMXVEEA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8">
    <tabColor rgb="FF0000FF"/>
  </sheetPr>
  <dimension ref="A1:L1005"/>
  <sheetViews>
    <sheetView workbookViewId="0">
      <selection activeCell="B10" sqref="B10"/>
    </sheetView>
  </sheetViews>
  <sheetFormatPr defaultColWidth="14.42578125" defaultRowHeight="15" customHeight="1" x14ac:dyDescent="0.25"/>
  <cols>
    <col min="1" max="1" width="36.42578125" bestFit="1" customWidth="1"/>
    <col min="2" max="2" width="16.7109375" customWidth="1"/>
    <col min="3" max="4" width="16.7109375" style="154" customWidth="1"/>
    <col min="5" max="5" width="15.5703125" customWidth="1"/>
    <col min="6" max="7" width="16.5703125" customWidth="1"/>
    <col min="8" max="8" width="26.5703125" bestFit="1" customWidth="1"/>
    <col min="9" max="9" width="24.140625" bestFit="1" customWidth="1"/>
    <col min="10" max="10" width="35.85546875" customWidth="1"/>
    <col min="11" max="11" width="39.42578125" bestFit="1" customWidth="1"/>
    <col min="12" max="12" width="8.5703125" customWidth="1"/>
  </cols>
  <sheetData>
    <row r="1" spans="1:12" ht="6.75" customHeight="1" thickBot="1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ht="30" customHeight="1" thickBot="1" x14ac:dyDescent="0.3">
      <c r="A2" s="179" t="s">
        <v>47</v>
      </c>
      <c r="B2" s="180" t="s">
        <v>6</v>
      </c>
      <c r="C2" s="188" t="str">
        <f>E3</f>
        <v>JOAO</v>
      </c>
      <c r="D2" s="190" t="str">
        <f>E4</f>
        <v>MARIA</v>
      </c>
      <c r="E2" s="64" t="s">
        <v>158</v>
      </c>
      <c r="F2" s="181" t="s">
        <v>159</v>
      </c>
      <c r="G2" s="181" t="s">
        <v>160</v>
      </c>
      <c r="H2" s="181" t="s">
        <v>175</v>
      </c>
      <c r="I2" s="181" t="s">
        <v>166</v>
      </c>
      <c r="J2" s="181" t="s">
        <v>164</v>
      </c>
      <c r="K2" s="181" t="s">
        <v>167</v>
      </c>
      <c r="L2" s="15"/>
    </row>
    <row r="3" spans="1:12" ht="30" customHeight="1" x14ac:dyDescent="0.25">
      <c r="A3" s="444" t="s">
        <v>147</v>
      </c>
      <c r="B3" s="441">
        <f>DESCRITIVO!F273</f>
        <v>1500</v>
      </c>
      <c r="C3" s="189">
        <f>B3*$I$3</f>
        <v>1050</v>
      </c>
      <c r="D3" s="191">
        <f>B3*$I$4</f>
        <v>450</v>
      </c>
      <c r="E3" s="184" t="s">
        <v>142</v>
      </c>
      <c r="F3" s="439">
        <v>2000</v>
      </c>
      <c r="G3" s="439">
        <v>1500</v>
      </c>
      <c r="H3" s="185">
        <f t="shared" ref="H3:H4" si="0">F3+G3</f>
        <v>3500</v>
      </c>
      <c r="I3" s="196">
        <f>H3/(H3+H4)</f>
        <v>0.7</v>
      </c>
      <c r="J3" s="182">
        <f>B18*I3</f>
        <v>3360</v>
      </c>
      <c r="K3" s="65">
        <f t="shared" ref="K3:K4" si="1">H3-J3</f>
        <v>140</v>
      </c>
      <c r="L3" s="15"/>
    </row>
    <row r="4" spans="1:12" ht="30" customHeight="1" x14ac:dyDescent="0.25">
      <c r="A4" s="445" t="s">
        <v>57</v>
      </c>
      <c r="B4" s="442">
        <f>DESCRITIVO!F272</f>
        <v>400</v>
      </c>
      <c r="C4" s="189">
        <f t="shared" ref="C4:C17" si="2">B4*$I$3</f>
        <v>280</v>
      </c>
      <c r="D4" s="191">
        <f t="shared" ref="D4:D17" si="3">B4*$I$4</f>
        <v>120</v>
      </c>
      <c r="E4" s="186" t="s">
        <v>143</v>
      </c>
      <c r="F4" s="440">
        <v>1500</v>
      </c>
      <c r="G4" s="440">
        <v>0</v>
      </c>
      <c r="H4" s="187">
        <f t="shared" si="0"/>
        <v>1500</v>
      </c>
      <c r="I4" s="197">
        <f>H4/(H4+H3)</f>
        <v>0.3</v>
      </c>
      <c r="J4" s="183">
        <f>IF((B18*I4)&lt;300,IF((B18*I4)=0,0,300),B18*I4)</f>
        <v>1440</v>
      </c>
      <c r="K4" s="66">
        <f t="shared" si="1"/>
        <v>60</v>
      </c>
      <c r="L4" s="15"/>
    </row>
    <row r="5" spans="1:12" ht="30" customHeight="1" thickBot="1" x14ac:dyDescent="0.3">
      <c r="A5" s="445" t="s">
        <v>148</v>
      </c>
      <c r="B5" s="442">
        <f>DESCRITIVO!F271</f>
        <v>300</v>
      </c>
      <c r="C5" s="189">
        <f t="shared" si="2"/>
        <v>210</v>
      </c>
      <c r="D5" s="191">
        <f t="shared" si="3"/>
        <v>90</v>
      </c>
      <c r="E5" s="192" t="s">
        <v>58</v>
      </c>
      <c r="F5" s="193">
        <f t="shared" ref="F5:K5" si="4">F3+F4</f>
        <v>3500</v>
      </c>
      <c r="G5" s="193">
        <f t="shared" si="4"/>
        <v>1500</v>
      </c>
      <c r="H5" s="193">
        <f t="shared" si="4"/>
        <v>5000</v>
      </c>
      <c r="I5" s="194">
        <f t="shared" si="4"/>
        <v>1</v>
      </c>
      <c r="J5" s="193">
        <f t="shared" si="4"/>
        <v>4800</v>
      </c>
      <c r="K5" s="195">
        <f t="shared" si="4"/>
        <v>200</v>
      </c>
      <c r="L5" s="15"/>
    </row>
    <row r="6" spans="1:12" ht="30" customHeight="1" thickBot="1" x14ac:dyDescent="0.3">
      <c r="A6" s="445" t="s">
        <v>149</v>
      </c>
      <c r="B6" s="442">
        <f>DESCRITIVO!F275</f>
        <v>50</v>
      </c>
      <c r="C6" s="189">
        <f t="shared" si="2"/>
        <v>35</v>
      </c>
      <c r="D6" s="191">
        <f t="shared" si="3"/>
        <v>15</v>
      </c>
      <c r="E6" s="431" t="s">
        <v>165</v>
      </c>
      <c r="F6" s="432"/>
      <c r="G6" s="432"/>
      <c r="H6" s="432"/>
      <c r="I6" s="432"/>
      <c r="J6" s="432"/>
      <c r="K6" s="67">
        <f ca="1">H5-(DESCRITIVO!L282+B16+B17)</f>
        <v>-100</v>
      </c>
      <c r="L6" s="15"/>
    </row>
    <row r="7" spans="1:12" s="154" customFormat="1" ht="30" customHeight="1" x14ac:dyDescent="0.25">
      <c r="A7" s="445" t="s">
        <v>85</v>
      </c>
      <c r="B7" s="442">
        <f>DESCRITIVO!F278</f>
        <v>300</v>
      </c>
      <c r="C7" s="189">
        <f t="shared" si="2"/>
        <v>210</v>
      </c>
      <c r="D7" s="191">
        <f t="shared" si="3"/>
        <v>90</v>
      </c>
      <c r="E7" s="68"/>
      <c r="F7" s="15"/>
      <c r="G7" s="15"/>
      <c r="H7" s="34"/>
      <c r="I7" s="15"/>
      <c r="J7" s="69"/>
      <c r="K7" s="34"/>
      <c r="L7" s="15"/>
    </row>
    <row r="8" spans="1:12" s="154" customFormat="1" ht="30" customHeight="1" x14ac:dyDescent="0.25">
      <c r="A8" s="445" t="s">
        <v>154</v>
      </c>
      <c r="B8" s="442">
        <f>DESCRITIVO!F274</f>
        <v>100</v>
      </c>
      <c r="C8" s="189">
        <f t="shared" si="2"/>
        <v>70</v>
      </c>
      <c r="D8" s="191">
        <f t="shared" si="3"/>
        <v>30</v>
      </c>
      <c r="E8" s="68"/>
      <c r="F8" s="15"/>
      <c r="G8" s="15"/>
      <c r="H8" s="34"/>
      <c r="I8" s="34"/>
      <c r="J8" s="15"/>
      <c r="K8" s="15"/>
      <c r="L8" s="15"/>
    </row>
    <row r="9" spans="1:12" s="154" customFormat="1" ht="30" customHeight="1" x14ac:dyDescent="0.25">
      <c r="A9" s="445" t="s">
        <v>155</v>
      </c>
      <c r="B9" s="442">
        <f>DESCRITIVO!F276</f>
        <v>100</v>
      </c>
      <c r="C9" s="189">
        <f t="shared" si="2"/>
        <v>70</v>
      </c>
      <c r="D9" s="191">
        <f t="shared" si="3"/>
        <v>30</v>
      </c>
      <c r="E9" s="68"/>
      <c r="F9" s="15"/>
      <c r="G9" s="15"/>
      <c r="H9" s="34"/>
      <c r="I9" s="15"/>
      <c r="J9" s="15"/>
      <c r="K9" s="15"/>
      <c r="L9" s="15"/>
    </row>
    <row r="10" spans="1:12" s="154" customFormat="1" ht="30" customHeight="1" x14ac:dyDescent="0.25">
      <c r="A10" s="445" t="s">
        <v>156</v>
      </c>
      <c r="B10" s="442">
        <f>DESCRITIVO!F270</f>
        <v>200</v>
      </c>
      <c r="C10" s="189">
        <f t="shared" si="2"/>
        <v>140</v>
      </c>
      <c r="D10" s="191">
        <f t="shared" si="3"/>
        <v>60</v>
      </c>
      <c r="E10" s="68"/>
      <c r="F10" s="15"/>
      <c r="G10" s="15"/>
      <c r="H10" s="34"/>
      <c r="I10" s="15"/>
      <c r="J10" s="69"/>
      <c r="K10" s="34"/>
      <c r="L10" s="15"/>
    </row>
    <row r="11" spans="1:12" s="154" customFormat="1" ht="30" customHeight="1" x14ac:dyDescent="0.25">
      <c r="A11" s="445" t="s">
        <v>157</v>
      </c>
      <c r="B11" s="442">
        <f>DESCRITIVO!F268</f>
        <v>0</v>
      </c>
      <c r="C11" s="189">
        <f t="shared" si="2"/>
        <v>0</v>
      </c>
      <c r="D11" s="191">
        <f t="shared" si="3"/>
        <v>0</v>
      </c>
      <c r="E11" s="68"/>
      <c r="F11" s="15"/>
      <c r="G11" s="15"/>
      <c r="H11" s="34"/>
      <c r="I11" s="34"/>
      <c r="J11" s="15"/>
      <c r="K11" s="15"/>
      <c r="L11" s="15"/>
    </row>
    <row r="12" spans="1:12" ht="30" customHeight="1" x14ac:dyDescent="0.25">
      <c r="A12" s="445" t="s">
        <v>28</v>
      </c>
      <c r="B12" s="442">
        <f>DESCRITIVO!F277</f>
        <v>100</v>
      </c>
      <c r="C12" s="189">
        <f t="shared" si="2"/>
        <v>70</v>
      </c>
      <c r="D12" s="191">
        <f t="shared" si="3"/>
        <v>30</v>
      </c>
      <c r="E12" s="68"/>
      <c r="F12" s="15"/>
      <c r="G12" s="15"/>
      <c r="H12" s="34"/>
      <c r="I12" s="15"/>
      <c r="J12" s="69"/>
      <c r="K12" s="34"/>
      <c r="L12" s="15"/>
    </row>
    <row r="13" spans="1:12" ht="30" customHeight="1" x14ac:dyDescent="0.25">
      <c r="A13" s="445" t="s">
        <v>150</v>
      </c>
      <c r="B13" s="442">
        <f>DESCRITIVO!F269</f>
        <v>200</v>
      </c>
      <c r="C13" s="189">
        <f t="shared" si="2"/>
        <v>140</v>
      </c>
      <c r="D13" s="191">
        <f t="shared" si="3"/>
        <v>60</v>
      </c>
      <c r="E13" s="68"/>
      <c r="F13" s="15"/>
      <c r="G13" s="15"/>
      <c r="H13" s="34"/>
      <c r="I13" s="34"/>
      <c r="J13" s="15"/>
      <c r="K13" s="15"/>
      <c r="L13" s="15"/>
    </row>
    <row r="14" spans="1:12" ht="30" customHeight="1" x14ac:dyDescent="0.25">
      <c r="A14" s="446" t="s">
        <v>151</v>
      </c>
      <c r="B14" s="443">
        <f>DESCRITIVO!F279</f>
        <v>100</v>
      </c>
      <c r="C14" s="189">
        <f t="shared" si="2"/>
        <v>70</v>
      </c>
      <c r="D14" s="191">
        <f t="shared" si="3"/>
        <v>30</v>
      </c>
      <c r="E14" s="68"/>
      <c r="F14" s="15"/>
      <c r="G14" s="15"/>
      <c r="H14" s="34"/>
      <c r="I14" s="15"/>
      <c r="J14" s="15"/>
      <c r="K14" s="15"/>
      <c r="L14" s="15"/>
    </row>
    <row r="15" spans="1:12" ht="30" customHeight="1" x14ac:dyDescent="0.25">
      <c r="A15" s="446" t="s">
        <v>144</v>
      </c>
      <c r="B15" s="443">
        <v>1000</v>
      </c>
      <c r="C15" s="189">
        <f t="shared" si="2"/>
        <v>700</v>
      </c>
      <c r="D15" s="191">
        <f t="shared" si="3"/>
        <v>300</v>
      </c>
      <c r="E15" s="68"/>
      <c r="F15" s="15"/>
      <c r="G15" s="15"/>
      <c r="H15" s="15"/>
      <c r="I15" s="15"/>
      <c r="J15" s="15"/>
      <c r="K15" s="15"/>
      <c r="L15" s="15"/>
    </row>
    <row r="16" spans="1:12" ht="30" customHeight="1" x14ac:dyDescent="0.25">
      <c r="A16" s="445" t="s">
        <v>145</v>
      </c>
      <c r="B16" s="442">
        <v>300</v>
      </c>
      <c r="C16" s="189">
        <f t="shared" si="2"/>
        <v>210</v>
      </c>
      <c r="D16" s="191">
        <f t="shared" si="3"/>
        <v>90</v>
      </c>
      <c r="E16" s="68"/>
      <c r="F16" s="15"/>
      <c r="G16" s="15"/>
      <c r="H16" s="34"/>
      <c r="I16" s="15"/>
      <c r="J16" s="15"/>
      <c r="K16" s="15"/>
      <c r="L16" s="15"/>
    </row>
    <row r="17" spans="1:12" ht="30" customHeight="1" thickBot="1" x14ac:dyDescent="0.3">
      <c r="A17" s="446" t="s">
        <v>146</v>
      </c>
      <c r="B17" s="443">
        <v>150</v>
      </c>
      <c r="C17" s="189">
        <f t="shared" si="2"/>
        <v>105</v>
      </c>
      <c r="D17" s="191">
        <f t="shared" si="3"/>
        <v>45</v>
      </c>
      <c r="E17" s="68"/>
      <c r="F17" s="15"/>
      <c r="G17" s="15"/>
      <c r="H17" s="34"/>
      <c r="I17" s="15"/>
      <c r="J17" s="15"/>
      <c r="K17" s="15"/>
      <c r="L17" s="15"/>
    </row>
    <row r="18" spans="1:12" ht="30" customHeight="1" thickBot="1" x14ac:dyDescent="0.3">
      <c r="A18" s="70" t="s">
        <v>59</v>
      </c>
      <c r="B18" s="71">
        <f>SUM(B3:B17)</f>
        <v>4800</v>
      </c>
      <c r="C18" s="71">
        <f t="shared" ref="C18:D18" si="5">SUM(C3:C17)</f>
        <v>3360</v>
      </c>
      <c r="D18" s="71">
        <f t="shared" si="5"/>
        <v>1440</v>
      </c>
      <c r="E18" s="15"/>
      <c r="F18" s="15"/>
      <c r="G18" s="15"/>
      <c r="H18" s="34"/>
      <c r="I18" s="15"/>
      <c r="J18" s="15"/>
      <c r="K18" s="15"/>
      <c r="L18" s="15"/>
    </row>
    <row r="19" spans="1:12" ht="14.25" customHeight="1" thickBot="1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</row>
    <row r="20" spans="1:12" ht="30" customHeight="1" thickBot="1" x14ac:dyDescent="0.3">
      <c r="A20" s="177" t="s">
        <v>163</v>
      </c>
      <c r="B20" s="178">
        <f ca="1">'% nas Despesas'!B15-DESCRITIVO!I264</f>
        <v>-300</v>
      </c>
      <c r="C20" s="433" t="str">
        <f>CONCATENATE("SE (+) = TOTAL DOS CARTÕES &lt; QUE CARD CONTAS COMUM",CHAR(10),"SE (-) =  TOTAL DOS CARTÕES &gt; QUE CARD CONTAS COMUM")</f>
        <v>SE (+) = TOTAL DOS CARTÕES &lt; QUE CARD CONTAS COMUM
SE (-) =  TOTAL DOS CARTÕES &gt; QUE CARD CONTAS COMUM</v>
      </c>
      <c r="D20" s="434"/>
      <c r="E20" s="434"/>
      <c r="F20" s="434"/>
      <c r="G20" s="434"/>
      <c r="H20" s="15"/>
      <c r="I20" s="15"/>
      <c r="J20" s="15"/>
      <c r="K20" s="15"/>
      <c r="L20" s="15"/>
    </row>
    <row r="21" spans="1:12" ht="14.25" customHeight="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</row>
    <row r="22" spans="1:12" ht="14.25" customHeight="1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</row>
    <row r="23" spans="1:12" ht="14.25" customHeight="1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</row>
    <row r="24" spans="1:12" ht="14.25" customHeight="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</row>
    <row r="25" spans="1:12" ht="14.25" customHeight="1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</row>
    <row r="26" spans="1:12" ht="14.2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</row>
    <row r="27" spans="1:12" ht="14.25" customHeight="1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</row>
    <row r="28" spans="1:12" ht="14.25" customHeight="1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</row>
    <row r="29" spans="1:12" ht="14.2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</row>
    <row r="30" spans="1:12" ht="14.25" customHeight="1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</row>
    <row r="31" spans="1:12" ht="14.2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</row>
    <row r="32" spans="1:12" ht="14.25" customHeight="1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</row>
    <row r="33" spans="1:12" ht="14.2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</row>
    <row r="34" spans="1:12" ht="14.2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</row>
    <row r="35" spans="1:12" ht="14.25" customHeight="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</row>
    <row r="36" spans="1:12" ht="14.25" customHeight="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</row>
    <row r="37" spans="1:12" ht="14.25" customHeight="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</row>
    <row r="38" spans="1:12" ht="14.25" customHeight="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</row>
    <row r="39" spans="1:12" ht="14.25" customHeight="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</row>
    <row r="40" spans="1:12" ht="14.25" customHeight="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</row>
    <row r="41" spans="1:12" ht="14.25" customHeight="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</row>
    <row r="42" spans="1:12" ht="14.25" customHeight="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</row>
    <row r="43" spans="1:12" ht="14.25" customHeight="1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</row>
    <row r="44" spans="1:12" ht="14.25" customHeight="1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</row>
    <row r="45" spans="1:12" ht="14.25" customHeight="1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</row>
    <row r="46" spans="1:12" ht="14.25" customHeight="1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</row>
    <row r="47" spans="1:12" ht="14.25" customHeight="1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</row>
    <row r="48" spans="1:12" ht="14.25" customHeight="1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</row>
    <row r="49" spans="1:12" ht="14.25" customHeight="1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</row>
    <row r="50" spans="1:12" ht="14.25" customHeight="1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</row>
    <row r="51" spans="1:12" ht="14.25" customHeight="1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</row>
    <row r="52" spans="1:12" ht="14.25" customHeight="1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</row>
    <row r="53" spans="1:12" ht="14.25" customHeight="1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</row>
    <row r="54" spans="1:12" ht="14.25" customHeight="1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</row>
    <row r="55" spans="1:12" ht="14.25" customHeight="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</row>
    <row r="56" spans="1:12" ht="14.25" customHeight="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</row>
    <row r="57" spans="1:12" ht="14.25" customHeight="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</row>
    <row r="58" spans="1:12" ht="14.25" customHeight="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</row>
    <row r="59" spans="1:12" ht="14.25" customHeight="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</row>
    <row r="60" spans="1:12" ht="14.25" customHeight="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</row>
    <row r="61" spans="1:12" ht="14.25" customHeight="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</row>
    <row r="62" spans="1:12" ht="14.25" customHeight="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</row>
    <row r="63" spans="1:12" ht="14.25" customHeight="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</row>
    <row r="64" spans="1:12" ht="14.25" customHeight="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</row>
    <row r="65" spans="1:12" ht="14.25" customHeight="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</row>
    <row r="66" spans="1:12" ht="14.25" customHeight="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</row>
    <row r="67" spans="1:12" ht="14.25" customHeight="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</row>
    <row r="68" spans="1:12" ht="14.25" customHeight="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</row>
    <row r="69" spans="1:12" ht="14.25" customHeight="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</row>
    <row r="70" spans="1:12" ht="14.25" customHeight="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</row>
    <row r="71" spans="1:12" ht="14.25" customHeight="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</row>
    <row r="72" spans="1:12" ht="14.25" customHeight="1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</row>
    <row r="73" spans="1:12" ht="14.25" customHeight="1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</row>
    <row r="74" spans="1:12" ht="14.25" customHeight="1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</row>
    <row r="75" spans="1:12" ht="14.25" customHeight="1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</row>
    <row r="76" spans="1:12" ht="14.25" customHeight="1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</row>
    <row r="77" spans="1:12" ht="14.25" customHeight="1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</row>
    <row r="78" spans="1:12" ht="14.25" customHeight="1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</row>
    <row r="79" spans="1:12" ht="14.2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</row>
    <row r="80" spans="1:12" ht="14.2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</row>
    <row r="81" spans="1:12" ht="14.2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</row>
    <row r="82" spans="1:12" ht="14.25" customHeight="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</row>
    <row r="83" spans="1:12" ht="14.25" customHeight="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</row>
    <row r="84" spans="1:12" ht="14.25" customHeight="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</row>
    <row r="85" spans="1:12" ht="14.25" customHeight="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</row>
    <row r="86" spans="1:12" ht="14.25" customHeight="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</row>
    <row r="87" spans="1:12" ht="14.25" customHeight="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</row>
    <row r="88" spans="1:12" ht="14.25" customHeight="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</row>
    <row r="89" spans="1:12" ht="14.25" customHeight="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</row>
    <row r="90" spans="1:12" ht="14.25" customHeight="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</row>
    <row r="91" spans="1:12" ht="14.25" customHeight="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</row>
    <row r="92" spans="1:12" ht="14.25" customHeight="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</row>
    <row r="93" spans="1:12" ht="14.25" customHeight="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</row>
    <row r="94" spans="1:12" ht="14.25" customHeight="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</row>
    <row r="95" spans="1:12" ht="14.25" customHeight="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</row>
    <row r="96" spans="1:12" ht="14.25" customHeight="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</row>
    <row r="97" spans="1:12" ht="14.25" customHeight="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</row>
    <row r="98" spans="1:12" ht="14.25" customHeight="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</row>
    <row r="99" spans="1:12" ht="14.25" customHeight="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</row>
    <row r="100" spans="1:12" ht="14.25" customHeight="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</row>
    <row r="101" spans="1:12" ht="14.25" customHeight="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</row>
    <row r="102" spans="1:12" ht="14.25" customHeight="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</row>
    <row r="103" spans="1:12" ht="14.25" customHeight="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</row>
    <row r="104" spans="1:12" ht="14.25" customHeight="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</row>
    <row r="105" spans="1:12" ht="14.25" customHeight="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</row>
    <row r="106" spans="1:12" ht="15.75" customHeight="1" x14ac:dyDescent="0.25"/>
    <row r="107" spans="1:12" ht="15.75" customHeight="1" x14ac:dyDescent="0.25"/>
    <row r="108" spans="1:12" ht="15.75" customHeight="1" x14ac:dyDescent="0.25"/>
    <row r="109" spans="1:12" ht="15.75" customHeight="1" x14ac:dyDescent="0.25"/>
    <row r="110" spans="1:12" ht="15.75" customHeight="1" x14ac:dyDescent="0.25"/>
    <row r="111" spans="1:12" ht="15.75" customHeight="1" x14ac:dyDescent="0.25"/>
    <row r="112" spans="1: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</sheetData>
  <sheetProtection algorithmName="SHA-512" hashValue="Hvg70ZAln29nq7P+sMuXSYbZsFQUlt4YPbowUoXxI9ZL5dIJY8EsDtf8t/ufLyDchmDUJ24hc/uNtVu4imSFtQ==" saltValue="CV0kB/gfc8lQ74PZP+KzpA==" spinCount="100000" sheet="1" objects="1" scenarios="1" selectLockedCells="1"/>
  <mergeCells count="2">
    <mergeCell ref="E6:J6"/>
    <mergeCell ref="C20:G20"/>
  </mergeCells>
  <conditionalFormatting sqref="K6">
    <cfRule type="cellIs" dxfId="1" priority="1" operator="greaterThan">
      <formula>0</formula>
    </cfRule>
  </conditionalFormatting>
  <conditionalFormatting sqref="K6">
    <cfRule type="cellIs" dxfId="0" priority="2" operator="lessThan">
      <formula>0</formula>
    </cfRule>
  </conditionalFormatting>
  <pageMargins left="0.511811024" right="0.511811024" top="0.78740157499999996" bottom="0.78740157499999996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DESCRITIVO</vt:lpstr>
      <vt:lpstr>RESUMÃO</vt:lpstr>
      <vt:lpstr>status_mêsAtual</vt:lpstr>
      <vt:lpstr>HISTÓRICO GASTOS MÊS</vt:lpstr>
      <vt:lpstr>% nas Despesas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rian araújo</cp:lastModifiedBy>
  <cp:lastPrinted>2021-12-18T10:41:34Z</cp:lastPrinted>
  <dcterms:created xsi:type="dcterms:W3CDTF">2018-10-24T04:43:41Z</dcterms:created>
  <dcterms:modified xsi:type="dcterms:W3CDTF">2022-03-25T01:05:51Z</dcterms:modified>
</cp:coreProperties>
</file>